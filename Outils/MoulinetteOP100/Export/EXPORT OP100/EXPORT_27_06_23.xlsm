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E\18 ZENX\Moulinette\Export\EXPORT OP100\"/>
    </mc:Choice>
  </mc:AlternateContent>
  <xr:revisionPtr revIDLastSave="0" documentId="13_ncr:1_{32FAC2C8-A6DD-4E3B-98AE-7B3C7A780865}" xr6:coauthVersionLast="47" xr6:coauthVersionMax="47" xr10:uidLastSave="{00000000-0000-0000-0000-000000000000}"/>
  <bookViews>
    <workbookView minimized="1" xWindow="1905" yWindow="1905" windowWidth="21600" windowHeight="11295" xr2:uid="{00000000-000D-0000-FFFF-FFFF00000000}"/>
  </bookViews>
  <sheets>
    <sheet name="EXPORT" sheetId="1" r:id="rId1"/>
  </sheets>
  <definedNames>
    <definedName name="_xlnm._FilterDatabase" localSheetId="0" hidden="1">EXPORT!$A$1:$DW$110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15" i="1" l="1"/>
  <c r="AP9" i="1"/>
  <c r="AT2" i="1"/>
  <c r="AQ11" i="1"/>
  <c r="AQ10" i="1"/>
  <c r="AR10" i="1" s="1"/>
  <c r="AQ9" i="1"/>
  <c r="AP14" i="1"/>
  <c r="AT3" i="1"/>
  <c r="AT4" i="1"/>
  <c r="AT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AR2" i="1"/>
  <c r="AR5" i="1" s="1"/>
  <c r="AR3" i="1"/>
  <c r="AR6" i="1" s="1"/>
  <c r="AS6" i="1"/>
  <c r="AS10" i="1" s="1"/>
  <c r="AQ5" i="1"/>
  <c r="AM3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2" i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2" i="1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2" i="1"/>
  <c r="AR9" i="1" l="1"/>
  <c r="AR11" i="1" s="1"/>
  <c r="AN2" i="1"/>
  <c r="AP10" i="1"/>
  <c r="AS5" i="1"/>
  <c r="AS9" i="1" s="1"/>
  <c r="AS11" i="1" s="1"/>
  <c r="AQ6" i="1"/>
  <c r="AO2" i="1"/>
  <c r="AP2" i="1"/>
  <c r="AP11" i="1" l="1"/>
</calcChain>
</file>

<file path=xl/sharedStrings.xml><?xml version="1.0" encoding="utf-8"?>
<sst xmlns="http://schemas.openxmlformats.org/spreadsheetml/2006/main" count="599" uniqueCount="115">
  <si>
    <t>Test# 1 - predcir</t>
  </si>
  <si>
    <t xml:space="preserve">Test# 2 - OCV ACIR </t>
  </si>
  <si>
    <t xml:space="preserve">Test# 3 - BAT+ </t>
  </si>
  <si>
    <t xml:space="preserve">Test# 4 - BAT- </t>
  </si>
  <si>
    <t>Test# 6.5 - intradcir</t>
  </si>
  <si>
    <t>Test# 6 - postdcir</t>
  </si>
  <si>
    <t>SN</t>
  </si>
  <si>
    <t>TEST1</t>
  </si>
  <si>
    <t xml:space="preserve">  0B5MEVA001A45JC9T0000071 </t>
  </si>
  <si>
    <t xml:space="preserve">  0B5MEVA001A45JC9T0000096 </t>
  </si>
  <si>
    <t xml:space="preserve">  0B5MEVA001A45JC9T0000108 </t>
  </si>
  <si>
    <t xml:space="preserve">  0B5MEVA001A45JC9T0000152 </t>
  </si>
  <si>
    <t xml:space="preserve">  0B5MEVA001A45JC9V0000017 </t>
  </si>
  <si>
    <t xml:space="preserve">  0B5MEVA001A45JC9V0000018 </t>
  </si>
  <si>
    <t xml:space="preserve">  0B5MEVA001A45JC9V0000023 </t>
  </si>
  <si>
    <t xml:space="preserve">  0B5MEVA001A45JC9V0000024 </t>
  </si>
  <si>
    <t xml:space="preserve">  0B5MEVA001A45JC9V0000049 </t>
  </si>
  <si>
    <t xml:space="preserve">  0B5MEVA001A45JC9V0000057 </t>
  </si>
  <si>
    <t xml:space="preserve">  0B5MEVA001A45JC9V0000266 </t>
  </si>
  <si>
    <t xml:space="preserve">  0B5MEVA001A45JC9V0000276 </t>
  </si>
  <si>
    <t xml:space="preserve">  0B5MEVA001A45JC9V0000317 </t>
  </si>
  <si>
    <t xml:space="preserve">  0B5MEVA001A45JC9V0000343 </t>
  </si>
  <si>
    <t xml:space="preserve">  0B5MEVA001A45JC9V0000344 </t>
  </si>
  <si>
    <t xml:space="preserve">  0B5MEVA001A45JC9V0000345 </t>
  </si>
  <si>
    <t xml:space="preserve">  0B5MEVA001A45JC9V0000348 </t>
  </si>
  <si>
    <t xml:space="preserve">  0B5MEVA001A45JC9V0000370 </t>
  </si>
  <si>
    <t xml:space="preserve">  0B5MEVA001A45JC9V0000394 </t>
  </si>
  <si>
    <t xml:space="preserve">  0B5MEVA001A45JC9V0000397 </t>
  </si>
  <si>
    <t xml:space="preserve">  0B5MEVA001A45JC9V0000398 </t>
  </si>
  <si>
    <t xml:space="preserve">  0B5MEVA001A45JC9V0000406 </t>
  </si>
  <si>
    <t xml:space="preserve">  0B5MEVA001A45JC9V0000407 </t>
  </si>
  <si>
    <t xml:space="preserve">  0B5MEVA001A45JC9W0000008 </t>
  </si>
  <si>
    <t xml:space="preserve">  0B5MEVA001A45JC9W0000014 </t>
  </si>
  <si>
    <t xml:space="preserve">  0B5MEVA001A45JC9W0000031 </t>
  </si>
  <si>
    <t xml:space="preserve">  0B5MEVA001A45JC9W0000054 </t>
  </si>
  <si>
    <t xml:space="preserve">  0B5MEVA001A45JC9W0000085 </t>
  </si>
  <si>
    <t xml:space="preserve">  0B5MEVA001A45JC9W0000239 </t>
  </si>
  <si>
    <t xml:space="preserve">  0B5MEVA001A45JC9W0000243 </t>
  </si>
  <si>
    <t xml:space="preserve">  0B5MEVA001A45JC9W0000271 </t>
  </si>
  <si>
    <t xml:space="preserve">  0B5MEVA001A45JC9W0000285 </t>
  </si>
  <si>
    <t xml:space="preserve">  0B5MEVA001A45JC9W0000295 </t>
  </si>
  <si>
    <t xml:space="preserve">  0B5MEVA001A45JC9W0000297 </t>
  </si>
  <si>
    <t xml:space="preserve">  0B5MEVA001A45JC9W0000312 </t>
  </si>
  <si>
    <t xml:space="preserve">  0B5MEVA001A45JC9W0000334 </t>
  </si>
  <si>
    <t xml:space="preserve">  0B5MEVA001A45JC9W0000344 </t>
  </si>
  <si>
    <t xml:space="preserve">  0B5MEVA001A45JC9W0000346 </t>
  </si>
  <si>
    <t xml:space="preserve">  0B5MEVA001A45JC9W0000347 </t>
  </si>
  <si>
    <t xml:space="preserve">  0B5MEVA001A45JC9W0000351 </t>
  </si>
  <si>
    <t xml:space="preserve">  0B5MEVA001A45JC9W0000353 </t>
  </si>
  <si>
    <t xml:space="preserve">  0B5MEVA001A45JC9W0000354 </t>
  </si>
  <si>
    <t xml:space="preserve">  0B5MEVA001A45JC9W0000357 </t>
  </si>
  <si>
    <t xml:space="preserve">  0B5MEVA001A45JC9W0000358 </t>
  </si>
  <si>
    <t xml:space="preserve">  0B5MEVA001A45JC9W0000360 </t>
  </si>
  <si>
    <t xml:space="preserve">  0B5MEVA001A45JC9W0000374 </t>
  </si>
  <si>
    <t xml:space="preserve">  0B5MEVA001A45JC9W0000375 </t>
  </si>
  <si>
    <t xml:space="preserve">  0B5MEVA001A45JC9W0000377 </t>
  </si>
  <si>
    <t xml:space="preserve">  0B5MEVA001A45JC9W0000380 </t>
  </si>
  <si>
    <t xml:space="preserve">  0B5MEVA001A45JC9W0000414 </t>
  </si>
  <si>
    <t xml:space="preserve">  0B5MEVA001A45JC9W0000439 </t>
  </si>
  <si>
    <t xml:space="preserve">  0B5MEVA001A45JC9W0000442 </t>
  </si>
  <si>
    <t xml:space="preserve">  0B5MEVA001A45JC9W0000443 </t>
  </si>
  <si>
    <t xml:space="preserve">  0B5MEVA001A45JC9X0000039 </t>
  </si>
  <si>
    <t xml:space="preserve">  0B5MEVA001A45JC9X0000049 </t>
  </si>
  <si>
    <t xml:space="preserve">  0B5MEVA001A45JC9X0000116 </t>
  </si>
  <si>
    <t xml:space="preserve">  0B5MEVA001A45JC9X0000129 </t>
  </si>
  <si>
    <t xml:space="preserve">  0B5MEVA001A45JC9X0000140 </t>
  </si>
  <si>
    <t xml:space="preserve">  0B5MEVA001A45JC9X0000142 </t>
  </si>
  <si>
    <t xml:space="preserve">  0B5MEVA001A45JC9X0000156 </t>
  </si>
  <si>
    <t xml:space="preserve">  0B5MEVA001A45JC9X0000167 </t>
  </si>
  <si>
    <t xml:space="preserve">  0B5MEVA001A45JC9X0000171 </t>
  </si>
  <si>
    <t xml:space="preserve">  0B5MEVA001A45JC9X0000177 </t>
  </si>
  <si>
    <t xml:space="preserve">  0B5MEVA001A45JC9X0000199 </t>
  </si>
  <si>
    <t xml:space="preserve">  0B5MEVA001A45JC9X0000200 </t>
  </si>
  <si>
    <t xml:space="preserve">  0B5MEVA001A45JC9X0000202 </t>
  </si>
  <si>
    <t xml:space="preserve">  0B5MEVA001A45JC9X0000205 </t>
  </si>
  <si>
    <t xml:space="preserve">  0B5MEVA001A45JC9X0000206 </t>
  </si>
  <si>
    <t xml:space="preserve">  0B5MEVA001A45JC9X0000207 </t>
  </si>
  <si>
    <t xml:space="preserve">  0B5MEVA001A45JC9X0000220 </t>
  </si>
  <si>
    <t xml:space="preserve">  0B5MEVA001A45JC9X0000224 </t>
  </si>
  <si>
    <t xml:space="preserve">  0B5MEVA001A45JC9X0000231 </t>
  </si>
  <si>
    <t xml:space="preserve">  0B5MEVA001A45JC9X0000247 </t>
  </si>
  <si>
    <t xml:space="preserve">  0B5MEVA001A45JC9X0000254 </t>
  </si>
  <si>
    <t xml:space="preserve">  0B5MEVA001A45JC9X0000259 </t>
  </si>
  <si>
    <t xml:space="preserve">  0B5MEVA001A45JC9X0000265 </t>
  </si>
  <si>
    <t xml:space="preserve">  0B5MEVA001A45JC9X0000282 </t>
  </si>
  <si>
    <t xml:space="preserve">  0B5MEVA001A45JC9Y0000469 </t>
  </si>
  <si>
    <t xml:space="preserve">  0B5MEVA001A45JC9Y0000488 </t>
  </si>
  <si>
    <t>TEST2</t>
  </si>
  <si>
    <t>TEST3</t>
  </si>
  <si>
    <t>TEST4</t>
  </si>
  <si>
    <t>TEST6.5</t>
  </si>
  <si>
    <t>MOYENNES
Predcir        Intradcir        Postdcir</t>
  </si>
  <si>
    <t>TcellMax
(°C)</t>
  </si>
  <si>
    <t>TcellMin
(°C)</t>
  </si>
  <si>
    <t>OCV
(V)</t>
  </si>
  <si>
    <t>ACIR
(mOhm)</t>
  </si>
  <si>
    <t>ISO BAT+
(Mohm)</t>
  </si>
  <si>
    <t>ISO BAT-
(Mohm)</t>
  </si>
  <si>
    <t>DCIR
(mOhm)</t>
  </si>
  <si>
    <t>Vcell1
(V)</t>
  </si>
  <si>
    <t>Vcell2
(V)</t>
  </si>
  <si>
    <t>Vcell3
(V)</t>
  </si>
  <si>
    <t>Vcell4
(V)</t>
  </si>
  <si>
    <t>Vcell5
(V)</t>
  </si>
  <si>
    <t>Vcell6
(V)</t>
  </si>
  <si>
    <t>Vcell1
(m)</t>
  </si>
  <si>
    <t>DELTA 
(mV)</t>
  </si>
  <si>
    <t>MIN / MAX (V)
Predcir        Intradcir        Postdcir</t>
  </si>
  <si>
    <t>PostDcir OP100</t>
  </si>
  <si>
    <t>Max</t>
  </si>
  <si>
    <t>Min</t>
  </si>
  <si>
    <t>PREDCIR (V)</t>
  </si>
  <si>
    <t>OCV (V)</t>
  </si>
  <si>
    <t>INTRADCIR (V)</t>
  </si>
  <si>
    <t>POSTDCIR (V)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</si>
</sst>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/>
    </xf>
    <xf numFmtId="0" fontId="19" fillId="0" borderId="0" xfId="0" applyFont="1" applyAlignment="1">
      <alignment horizontal="center" vertical="center" wrapText="1"/>
    </xf>
    <xf numFmtId="0" fontId="19" fillId="33" borderId="11" xfId="0" applyFont="1" applyFill="1" applyBorder="1" applyAlignment="1">
      <alignment horizontal="center" vertical="center" wrapText="1"/>
    </xf>
    <xf numFmtId="0" fontId="19" fillId="33" borderId="10" xfId="0" applyFont="1" applyFill="1" applyBorder="1" applyAlignment="1">
      <alignment horizontal="center" vertical="center" wrapText="1"/>
    </xf>
    <xf numFmtId="0" fontId="19" fillId="33" borderId="12" xfId="0" applyFont="1" applyFill="1" applyBorder="1" applyAlignment="1">
      <alignment horizontal="center" vertical="center" wrapText="1"/>
    </xf>
    <xf numFmtId="0" fontId="19" fillId="33" borderId="13" xfId="0" applyFont="1" applyFill="1" applyBorder="1" applyAlignment="1">
      <alignment horizontal="center" vertical="center" wrapText="1"/>
    </xf>
    <xf numFmtId="0" fontId="19" fillId="35" borderId="11" xfId="0" applyFont="1" applyFill="1" applyBorder="1" applyAlignment="1">
      <alignment horizontal="center" vertical="center" wrapText="1"/>
    </xf>
    <xf numFmtId="164" fontId="0" fillId="0" borderId="0" xfId="0" applyNumberFormat="1"/>
    <xf numFmtId="2" fontId="0" fillId="0" borderId="0" xfId="0" applyNumberFormat="1"/>
    <xf numFmtId="0" fontId="19" fillId="35" borderId="10" xfId="0" applyFont="1" applyFill="1" applyBorder="1" applyAlignment="1">
      <alignment horizontal="center" vertical="center" wrapText="1"/>
    </xf>
    <xf numFmtId="2" fontId="0" fillId="36" borderId="11" xfId="0" applyNumberFormat="1" applyFill="1" applyBorder="1"/>
    <xf numFmtId="0" fontId="0" fillId="37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0" fontId="0" fillId="0" borderId="0" xfId="0" applyNumberFormat="1"/>
    <xf numFmtId="0" fontId="19" fillId="34" borderId="11" xfId="0" applyFont="1" applyFill="1" applyBorder="1" applyAlignment="1">
      <alignment horizontal="center" vertical="center" wrapText="1"/>
    </xf>
    <xf numFmtId="0" fontId="19" fillId="34" borderId="10" xfId="0" applyFont="1" applyFill="1" applyBorder="1" applyAlignment="1">
      <alignment horizontal="center" vertical="center" wrapText="1"/>
    </xf>
    <xf numFmtId="0" fontId="19" fillId="35" borderId="11" xfId="0" applyFont="1" applyFill="1" applyBorder="1" applyAlignment="1">
      <alignment horizontal="center" vertical="center" wrapText="1"/>
    </xf>
    <xf numFmtId="0" fontId="19" fillId="35" borderId="10" xfId="0" applyFont="1" applyFill="1" applyBorder="1" applyAlignment="1">
      <alignment horizontal="center" vertical="center" wrapText="1"/>
    </xf>
    <xf numFmtId="0" fontId="19" fillId="36" borderId="11" xfId="0" applyFont="1" applyFill="1" applyBorder="1" applyAlignment="1">
      <alignment horizontal="center" vertical="center" wrapText="1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1">
    <dxf>
      <fill>
        <patternFill>
          <fgColor indexed="64"/>
          <bgColor theme="4" tint="0.399914548173467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T110"/>
  <sheetViews>
    <sheetView tabSelected="1" zoomScale="96" zoomScaleNormal="96" workbookViewId="0">
      <pane ySplit="1" topLeftCell="A2" activePane="bottomLeft" state="frozen"/>
      <selection pane="bottomLeft" activeCell="AM2" sqref="AM2"/>
    </sheetView>
  </sheetViews>
  <sheetFormatPr baseColWidth="10" defaultRowHeight="15" x14ac:dyDescent="0.25"/>
  <cols>
    <col min="1" max="1" width="34.85546875" bestFit="1" customWidth="1"/>
    <col min="2" max="2" width="17.28515625" bestFit="1" customWidth="1"/>
    <col min="3" max="10" width="8.28515625" customWidth="1"/>
    <col min="11" max="11" width="20" bestFit="1" customWidth="1"/>
    <col min="12" max="12" width="8.28515625" customWidth="1"/>
    <col min="13" max="13" width="13" bestFit="1" customWidth="1"/>
    <col min="14" max="14" width="15.85546875" bestFit="1" customWidth="1"/>
    <col min="15" max="15" width="13.7109375" bestFit="1" customWidth="1"/>
    <col min="16" max="16" width="15.5703125" bestFit="1" customWidth="1"/>
    <col min="17" max="18" width="8.28515625" customWidth="1"/>
    <col min="19" max="19" width="20.140625" bestFit="1" customWidth="1"/>
    <col min="20" max="27" width="8.28515625" customWidth="1"/>
    <col min="28" max="28" width="18.140625" bestFit="1" customWidth="1"/>
    <col min="29" max="36" width="8.28515625" customWidth="1"/>
    <col min="43" max="43" width="14.28515625" bestFit="1" customWidth="1"/>
    <col min="44" max="44" width="13.140625" customWidth="1"/>
    <col min="45" max="45" width="12.7109375" customWidth="1"/>
  </cols>
  <sheetData>
    <row r="1" spans="1:46" s="2" customFormat="1" ht="39" customHeight="1" x14ac:dyDescent="0.25">
      <c r="A1" s="3" t="s">
        <v>6</v>
      </c>
      <c r="B1" s="3" t="s">
        <v>7</v>
      </c>
      <c r="C1" s="3" t="s">
        <v>105</v>
      </c>
      <c r="D1" s="3" t="s">
        <v>100</v>
      </c>
      <c r="E1" s="3" t="s">
        <v>101</v>
      </c>
      <c r="F1" s="3" t="s">
        <v>102</v>
      </c>
      <c r="G1" s="3" t="s">
        <v>103</v>
      </c>
      <c r="H1" s="3" t="s">
        <v>104</v>
      </c>
      <c r="I1" s="3" t="s">
        <v>92</v>
      </c>
      <c r="J1" s="4" t="s">
        <v>93</v>
      </c>
      <c r="K1" s="3" t="s">
        <v>87</v>
      </c>
      <c r="L1" s="5" t="s">
        <v>94</v>
      </c>
      <c r="M1" s="4" t="s">
        <v>95</v>
      </c>
      <c r="N1" s="3" t="s">
        <v>88</v>
      </c>
      <c r="O1" s="4" t="s">
        <v>96</v>
      </c>
      <c r="P1" s="3" t="s">
        <v>89</v>
      </c>
      <c r="Q1" s="4" t="s">
        <v>97</v>
      </c>
      <c r="R1" s="6" t="s">
        <v>98</v>
      </c>
      <c r="S1" s="3" t="s">
        <v>90</v>
      </c>
      <c r="T1" s="3" t="s">
        <v>99</v>
      </c>
      <c r="U1" s="3" t="s">
        <v>100</v>
      </c>
      <c r="V1" s="3" t="s">
        <v>101</v>
      </c>
      <c r="W1" s="3" t="s">
        <v>102</v>
      </c>
      <c r="X1" s="3" t="s">
        <v>103</v>
      </c>
      <c r="Y1" s="3" t="s">
        <v>104</v>
      </c>
      <c r="Z1" s="3" t="s">
        <v>92</v>
      </c>
      <c r="AA1" s="4" t="s">
        <v>93</v>
      </c>
      <c r="AB1" s="3" t="s">
        <v>90</v>
      </c>
      <c r="AC1" s="3" t="s">
        <v>99</v>
      </c>
      <c r="AD1" s="3" t="s">
        <v>100</v>
      </c>
      <c r="AE1" s="3" t="s">
        <v>101</v>
      </c>
      <c r="AF1" s="3" t="s">
        <v>102</v>
      </c>
      <c r="AG1" s="3" t="s">
        <v>103</v>
      </c>
      <c r="AH1" s="3" t="s">
        <v>104</v>
      </c>
      <c r="AI1" s="3" t="s">
        <v>92</v>
      </c>
      <c r="AJ1" s="4" t="s">
        <v>93</v>
      </c>
      <c r="AK1" s="16" t="s">
        <v>106</v>
      </c>
      <c r="AL1" s="16"/>
      <c r="AM1" s="17"/>
      <c r="AN1" s="18" t="s">
        <v>91</v>
      </c>
      <c r="AO1" s="18"/>
      <c r="AP1" s="19"/>
      <c r="AQ1" s="20" t="s">
        <v>107</v>
      </c>
      <c r="AR1" s="20"/>
      <c r="AS1" s="20"/>
    </row>
    <row r="2" spans="1:46" x14ac:dyDescent="0.25">
      <c r="A2" t="s">
        <v>8</v>
      </c>
      <c r="B2" t="s">
        <v>0</v>
      </c>
      <c r="C2">
        <v>3.9075000000000002</v>
      </c>
      <c r="D2">
        <v>3.9049999999999998</v>
      </c>
      <c r="E2">
        <v>3.9075000000000002</v>
      </c>
      <c r="F2">
        <v>3.9062000000000001</v>
      </c>
      <c r="G2">
        <v>3.9075000000000002</v>
      </c>
      <c r="H2">
        <v>3.9049999999999998</v>
      </c>
      <c r="I2">
        <v>22.8</v>
      </c>
      <c r="J2">
        <v>22.9</v>
      </c>
      <c r="K2" t="s">
        <v>1</v>
      </c>
      <c r="L2">
        <v>23.443000000000001</v>
      </c>
      <c r="M2">
        <v>2.4</v>
      </c>
      <c r="N2" t="s">
        <v>2</v>
      </c>
      <c r="O2">
        <v>9999</v>
      </c>
      <c r="P2" t="s">
        <v>3</v>
      </c>
      <c r="Q2">
        <v>9999</v>
      </c>
      <c r="R2">
        <v>7.3756000000000004</v>
      </c>
      <c r="S2" t="s">
        <v>4</v>
      </c>
      <c r="T2">
        <v>3.7658999999999998</v>
      </c>
      <c r="U2">
        <v>3.7646000000000002</v>
      </c>
      <c r="V2">
        <v>3.7633999999999999</v>
      </c>
      <c r="W2">
        <v>3.7646000000000002</v>
      </c>
      <c r="X2">
        <v>3.7671000000000001</v>
      </c>
      <c r="Y2">
        <v>3.7646000000000002</v>
      </c>
      <c r="Z2">
        <v>23.5</v>
      </c>
      <c r="AA2">
        <v>23</v>
      </c>
      <c r="AB2" t="s">
        <v>5</v>
      </c>
      <c r="AC2">
        <v>3.8794</v>
      </c>
      <c r="AD2">
        <v>3.8744999999999998</v>
      </c>
      <c r="AE2">
        <v>3.8782000000000001</v>
      </c>
      <c r="AF2">
        <v>3.8769</v>
      </c>
      <c r="AG2">
        <v>3.8782000000000001</v>
      </c>
      <c r="AH2">
        <v>3.8769</v>
      </c>
      <c r="AI2">
        <v>24.8</v>
      </c>
      <c r="AJ2">
        <v>23.1</v>
      </c>
      <c r="AK2">
        <f>1000*(MAX(C2:H2)-MIN(C2:H2))</f>
        <v>2.5000000000003908</v>
      </c>
      <c r="AL2">
        <f>1000*(MAX(T2:Y2)-MIN(T2:Y2))</f>
        <v>3.7000000000002586</v>
      </c>
      <c r="AM2">
        <f>1000*(MAX(AC2:AH2)-MIN(AC2:AH2))</f>
        <v>4.9000000000001265</v>
      </c>
      <c r="AN2" s="7" t="str">
        <f>_xlfn.CONCAT(ROUND(AVERAGE(AK2:AK485),3),"mV")</f>
        <v>2.989mV</v>
      </c>
      <c r="AO2" s="7" t="str">
        <f>_xlfn.CONCAT(ROUND(AVERAGE(AL2:AL485),3),"mV")</f>
        <v>4.663mV</v>
      </c>
      <c r="AP2" s="10" t="str">
        <f>_xlfn.CONCAT(ROUND(AVERAGE(AM2:AM485),3),"mV")</f>
        <v>3.705mV</v>
      </c>
      <c r="AQ2" s="11">
        <v>3.8849999999999998</v>
      </c>
      <c r="AR2" s="11">
        <f>AVERAGE(T2:Y485)-0.015</f>
        <v>3.7504698312236311</v>
      </c>
      <c r="AS2" s="11">
        <v>3.86</v>
      </c>
      <c r="AT2">
        <f>SUM(AC2:AH2)</f>
        <v>23.264099999999999</v>
      </c>
    </row>
    <row r="3" spans="1:46" x14ac:dyDescent="0.25">
      <c r="A3" t="s">
        <v>9</v>
      </c>
      <c r="B3" t="s">
        <v>0</v>
      </c>
      <c r="C3">
        <v>3.9037999999999999</v>
      </c>
      <c r="D3">
        <v>3.9037999999999999</v>
      </c>
      <c r="E3">
        <v>3.9049999999999998</v>
      </c>
      <c r="F3">
        <v>3.9037999999999999</v>
      </c>
      <c r="G3">
        <v>3.9037999999999999</v>
      </c>
      <c r="H3">
        <v>3.9049999999999998</v>
      </c>
      <c r="I3">
        <v>23.3</v>
      </c>
      <c r="J3">
        <v>23.5</v>
      </c>
      <c r="K3" t="s">
        <v>1</v>
      </c>
      <c r="L3">
        <v>23.43</v>
      </c>
      <c r="M3">
        <v>2.34</v>
      </c>
      <c r="N3" t="s">
        <v>2</v>
      </c>
      <c r="O3">
        <v>9999</v>
      </c>
      <c r="P3" t="s">
        <v>3</v>
      </c>
      <c r="Q3">
        <v>9999</v>
      </c>
      <c r="R3">
        <v>7.1040999999999999</v>
      </c>
      <c r="S3" t="s">
        <v>4</v>
      </c>
      <c r="T3">
        <v>3.7671000000000001</v>
      </c>
      <c r="U3">
        <v>3.7671000000000001</v>
      </c>
      <c r="V3">
        <v>3.7671000000000001</v>
      </c>
      <c r="W3">
        <v>3.7671000000000001</v>
      </c>
      <c r="X3">
        <v>3.7707000000000002</v>
      </c>
      <c r="Y3">
        <v>3.7719999999999998</v>
      </c>
      <c r="Z3">
        <v>23.8</v>
      </c>
      <c r="AA3">
        <v>23.5</v>
      </c>
      <c r="AB3" t="s">
        <v>5</v>
      </c>
      <c r="AC3">
        <v>3.8744999999999998</v>
      </c>
      <c r="AD3">
        <v>3.8744999999999998</v>
      </c>
      <c r="AE3">
        <v>3.8757000000000001</v>
      </c>
      <c r="AF3">
        <v>3.8757000000000001</v>
      </c>
      <c r="AG3">
        <v>3.8757000000000001</v>
      </c>
      <c r="AH3">
        <v>3.8782000000000001</v>
      </c>
      <c r="AI3">
        <v>24.6</v>
      </c>
      <c r="AJ3">
        <v>23.7</v>
      </c>
      <c r="AK3">
        <f t="shared" ref="AK3:AK50" si="0">1000*(MAX(C3:H3)-MIN(C3:H3))</f>
        <v>1.1999999999998678</v>
      </c>
      <c r="AL3">
        <f t="shared" ref="AL3:AL50" si="1">1000*(MAX(T3:Y3)-MIN(T3:Y3))</f>
        <v>4.8999999999996824</v>
      </c>
      <c r="AM3">
        <f t="shared" ref="AM3:AM50" si="2">1000*(MAX(AC3:AH3)-MIN(AC3:AH3))</f>
        <v>3.7000000000002586</v>
      </c>
      <c r="AQ3" s="11">
        <v>3.915</v>
      </c>
      <c r="AR3" s="11">
        <f>AVERAGE(T2:Y485)+0.015</f>
        <v>3.7804698312236313</v>
      </c>
      <c r="AS3" s="11">
        <v>3.89</v>
      </c>
      <c r="AT3">
        <f t="shared" ref="AT3:AT66" si="3">SUM(AC3:AH3)</f>
        <v>23.254300000000001</v>
      </c>
    </row>
    <row r="4" spans="1:46" x14ac:dyDescent="0.25">
      <c r="A4" t="s">
        <v>10</v>
      </c>
      <c r="B4" t="s">
        <v>0</v>
      </c>
      <c r="C4">
        <v>3.9062000000000001</v>
      </c>
      <c r="D4">
        <v>3.9098999999999999</v>
      </c>
      <c r="E4">
        <v>3.9110999999999998</v>
      </c>
      <c r="F4">
        <v>3.9049999999999998</v>
      </c>
      <c r="G4">
        <v>3.9049999999999998</v>
      </c>
      <c r="H4">
        <v>3.9049999999999998</v>
      </c>
      <c r="I4">
        <v>23.2</v>
      </c>
      <c r="J4">
        <v>23.1</v>
      </c>
      <c r="K4" t="s">
        <v>1</v>
      </c>
      <c r="L4">
        <v>23.446000000000002</v>
      </c>
      <c r="M4">
        <v>2.35</v>
      </c>
      <c r="N4" t="s">
        <v>2</v>
      </c>
      <c r="O4">
        <v>9999</v>
      </c>
      <c r="P4" t="s">
        <v>3</v>
      </c>
      <c r="Q4">
        <v>9999</v>
      </c>
      <c r="R4">
        <v>7.1481000000000003</v>
      </c>
      <c r="S4" t="s">
        <v>4</v>
      </c>
      <c r="T4">
        <v>3.7658999999999998</v>
      </c>
      <c r="U4">
        <v>3.7707000000000002</v>
      </c>
      <c r="V4">
        <v>3.7732000000000001</v>
      </c>
      <c r="W4">
        <v>3.7694999999999999</v>
      </c>
      <c r="X4">
        <v>3.7707000000000002</v>
      </c>
      <c r="Y4">
        <v>3.7694999999999999</v>
      </c>
      <c r="Z4">
        <v>23.6</v>
      </c>
      <c r="AA4">
        <v>23.2</v>
      </c>
      <c r="AB4" t="s">
        <v>5</v>
      </c>
      <c r="AC4">
        <v>3.8769</v>
      </c>
      <c r="AD4">
        <v>3.883</v>
      </c>
      <c r="AE4">
        <v>3.883</v>
      </c>
      <c r="AF4">
        <v>3.8769</v>
      </c>
      <c r="AG4">
        <v>3.8757000000000001</v>
      </c>
      <c r="AH4">
        <v>3.8757000000000001</v>
      </c>
      <c r="AI4">
        <v>24.4</v>
      </c>
      <c r="AJ4">
        <v>23.4</v>
      </c>
      <c r="AK4">
        <f t="shared" si="0"/>
        <v>6.0999999999999943</v>
      </c>
      <c r="AL4">
        <f t="shared" si="1"/>
        <v>7.3000000000003062</v>
      </c>
      <c r="AM4">
        <f t="shared" si="2"/>
        <v>7.2999999999998622</v>
      </c>
      <c r="AT4">
        <f t="shared" si="3"/>
        <v>23.2712</v>
      </c>
    </row>
    <row r="5" spans="1:46" x14ac:dyDescent="0.25">
      <c r="A5" t="s">
        <v>11</v>
      </c>
      <c r="B5" t="s">
        <v>0</v>
      </c>
      <c r="C5">
        <v>3.9087000000000001</v>
      </c>
      <c r="D5">
        <v>3.9062000000000001</v>
      </c>
      <c r="E5">
        <v>3.9062000000000001</v>
      </c>
      <c r="F5">
        <v>3.9049999999999998</v>
      </c>
      <c r="G5">
        <v>3.9026000000000001</v>
      </c>
      <c r="H5">
        <v>3.9087000000000001</v>
      </c>
      <c r="I5">
        <v>23.1</v>
      </c>
      <c r="J5">
        <v>22.8</v>
      </c>
      <c r="K5" t="s">
        <v>1</v>
      </c>
      <c r="L5">
        <v>23.443000000000001</v>
      </c>
      <c r="M5">
        <v>2.4</v>
      </c>
      <c r="N5" t="s">
        <v>2</v>
      </c>
      <c r="O5">
        <v>9999</v>
      </c>
      <c r="P5" t="s">
        <v>3</v>
      </c>
      <c r="Q5">
        <v>9999</v>
      </c>
      <c r="R5">
        <v>7.3394000000000004</v>
      </c>
      <c r="S5" t="s">
        <v>4</v>
      </c>
      <c r="T5">
        <v>3.7658999999999998</v>
      </c>
      <c r="U5">
        <v>3.7671000000000001</v>
      </c>
      <c r="V5">
        <v>3.7646000000000002</v>
      </c>
      <c r="W5">
        <v>3.7633999999999999</v>
      </c>
      <c r="X5">
        <v>3.7646000000000002</v>
      </c>
      <c r="Y5">
        <v>3.7683</v>
      </c>
      <c r="Z5">
        <v>23.8</v>
      </c>
      <c r="AA5">
        <v>22.9</v>
      </c>
      <c r="AB5" t="s">
        <v>5</v>
      </c>
      <c r="AC5">
        <v>3.8794</v>
      </c>
      <c r="AD5">
        <v>3.8769</v>
      </c>
      <c r="AE5">
        <v>3.8782000000000001</v>
      </c>
      <c r="AF5">
        <v>3.8757000000000001</v>
      </c>
      <c r="AG5">
        <v>3.8733</v>
      </c>
      <c r="AH5">
        <v>3.8805999999999998</v>
      </c>
      <c r="AI5">
        <v>24.9</v>
      </c>
      <c r="AJ5">
        <v>23</v>
      </c>
      <c r="AK5">
        <f t="shared" si="0"/>
        <v>6.0999999999999943</v>
      </c>
      <c r="AL5">
        <f t="shared" si="1"/>
        <v>4.9000000000001265</v>
      </c>
      <c r="AM5">
        <f t="shared" si="2"/>
        <v>7.2999999999998622</v>
      </c>
      <c r="AQ5" s="9">
        <f>$AS$2</f>
        <v>3.86</v>
      </c>
      <c r="AR5" s="15">
        <f>$AR$2/$AQ$2</f>
        <v>0.96537189992886263</v>
      </c>
      <c r="AS5" s="15">
        <f>$AS$2/$AR$2</f>
        <v>1.0292043860383842</v>
      </c>
      <c r="AT5">
        <f t="shared" si="3"/>
        <v>23.264099999999999</v>
      </c>
    </row>
    <row r="6" spans="1:46" x14ac:dyDescent="0.25">
      <c r="A6" t="s">
        <v>12</v>
      </c>
      <c r="B6" t="s">
        <v>0</v>
      </c>
      <c r="C6">
        <v>3.9037999999999999</v>
      </c>
      <c r="D6">
        <v>3.9026000000000001</v>
      </c>
      <c r="E6">
        <v>3.9037999999999999</v>
      </c>
      <c r="F6">
        <v>3.9026000000000001</v>
      </c>
      <c r="G6">
        <v>3.9049999999999998</v>
      </c>
      <c r="H6">
        <v>3.9037999999999999</v>
      </c>
      <c r="I6">
        <v>23.4</v>
      </c>
      <c r="J6">
        <v>23.1</v>
      </c>
      <c r="K6" t="s">
        <v>1</v>
      </c>
      <c r="L6">
        <v>23.428000000000001</v>
      </c>
      <c r="M6">
        <v>2.34</v>
      </c>
      <c r="N6" t="s">
        <v>2</v>
      </c>
      <c r="O6">
        <v>9999</v>
      </c>
      <c r="P6" t="s">
        <v>3</v>
      </c>
      <c r="Q6">
        <v>9999</v>
      </c>
      <c r="R6">
        <v>7.2152000000000003</v>
      </c>
      <c r="S6" t="s">
        <v>4</v>
      </c>
      <c r="T6">
        <v>3.7646000000000002</v>
      </c>
      <c r="U6">
        <v>3.7633999999999999</v>
      </c>
      <c r="V6">
        <v>3.7671000000000001</v>
      </c>
      <c r="W6">
        <v>3.7622</v>
      </c>
      <c r="X6">
        <v>3.7683</v>
      </c>
      <c r="Y6">
        <v>3.7671000000000001</v>
      </c>
      <c r="Z6">
        <v>24.1</v>
      </c>
      <c r="AA6">
        <v>23.2</v>
      </c>
      <c r="AB6" t="s">
        <v>5</v>
      </c>
      <c r="AC6">
        <v>3.8744999999999998</v>
      </c>
      <c r="AD6">
        <v>3.8733</v>
      </c>
      <c r="AE6">
        <v>3.8757000000000001</v>
      </c>
      <c r="AF6">
        <v>3.8733</v>
      </c>
      <c r="AG6">
        <v>3.8757000000000001</v>
      </c>
      <c r="AH6">
        <v>3.8744999999999998</v>
      </c>
      <c r="AI6">
        <v>25.4</v>
      </c>
      <c r="AJ6">
        <v>23.3</v>
      </c>
      <c r="AK6">
        <f t="shared" si="0"/>
        <v>2.3999999999997357</v>
      </c>
      <c r="AL6">
        <f t="shared" si="1"/>
        <v>6.0999999999999943</v>
      </c>
      <c r="AM6">
        <f t="shared" si="2"/>
        <v>2.4000000000001798</v>
      </c>
      <c r="AQ6" s="9">
        <f>$AS$3</f>
        <v>3.89</v>
      </c>
      <c r="AR6" s="15">
        <f>$AR$3/$AQ$3</f>
        <v>0.96563724935469508</v>
      </c>
      <c r="AS6" s="15">
        <f>$AS$3/$AR$3</f>
        <v>1.0289726340021914</v>
      </c>
      <c r="AT6">
        <f t="shared" si="3"/>
        <v>23.247000000000003</v>
      </c>
    </row>
    <row r="7" spans="1:46" x14ac:dyDescent="0.25">
      <c r="A7" t="s">
        <v>13</v>
      </c>
      <c r="B7" t="s">
        <v>0</v>
      </c>
      <c r="C7">
        <v>3.9037999999999999</v>
      </c>
      <c r="D7">
        <v>3.9026000000000001</v>
      </c>
      <c r="E7">
        <v>3.9049999999999998</v>
      </c>
      <c r="F7">
        <v>3.9049999999999998</v>
      </c>
      <c r="G7">
        <v>3.9062000000000001</v>
      </c>
      <c r="H7">
        <v>3.9026000000000001</v>
      </c>
      <c r="I7">
        <v>23.3</v>
      </c>
      <c r="J7">
        <v>23</v>
      </c>
      <c r="K7" t="s">
        <v>1</v>
      </c>
      <c r="L7">
        <v>23.43</v>
      </c>
      <c r="M7">
        <v>2.37</v>
      </c>
      <c r="N7" t="s">
        <v>2</v>
      </c>
      <c r="O7">
        <v>9999</v>
      </c>
      <c r="P7" t="s">
        <v>3</v>
      </c>
      <c r="Q7">
        <v>9999</v>
      </c>
      <c r="R7">
        <v>7.1877000000000004</v>
      </c>
      <c r="S7" t="s">
        <v>4</v>
      </c>
      <c r="T7">
        <v>3.7671000000000001</v>
      </c>
      <c r="U7">
        <v>3.7646000000000002</v>
      </c>
      <c r="V7">
        <v>3.7658999999999998</v>
      </c>
      <c r="W7">
        <v>3.7683</v>
      </c>
      <c r="X7">
        <v>3.7683</v>
      </c>
      <c r="Y7">
        <v>3.7646000000000002</v>
      </c>
      <c r="Z7">
        <v>23.7</v>
      </c>
      <c r="AA7">
        <v>23.1</v>
      </c>
      <c r="AB7" t="s">
        <v>5</v>
      </c>
      <c r="AC7">
        <v>3.8744999999999998</v>
      </c>
      <c r="AD7">
        <v>3.8733</v>
      </c>
      <c r="AE7">
        <v>3.8757000000000001</v>
      </c>
      <c r="AF7">
        <v>3.8757000000000001</v>
      </c>
      <c r="AG7">
        <v>3.8769</v>
      </c>
      <c r="AH7">
        <v>3.8733</v>
      </c>
      <c r="AI7">
        <v>24.8</v>
      </c>
      <c r="AJ7">
        <v>23.2</v>
      </c>
      <c r="AK7">
        <f t="shared" si="0"/>
        <v>3.6000000000000476</v>
      </c>
      <c r="AL7">
        <f t="shared" si="1"/>
        <v>3.6999999999998145</v>
      </c>
      <c r="AM7">
        <f t="shared" si="2"/>
        <v>3.6000000000000476</v>
      </c>
      <c r="AP7" s="1"/>
      <c r="AQ7" s="12" t="s">
        <v>108</v>
      </c>
      <c r="AR7" s="1"/>
      <c r="AS7" s="1"/>
      <c r="AT7">
        <f t="shared" si="3"/>
        <v>23.249400000000001</v>
      </c>
    </row>
    <row r="8" spans="1:46" x14ac:dyDescent="0.25">
      <c r="A8" t="s">
        <v>14</v>
      </c>
      <c r="B8" t="s">
        <v>0</v>
      </c>
      <c r="C8">
        <v>3.9062000000000001</v>
      </c>
      <c r="D8">
        <v>3.9049999999999998</v>
      </c>
      <c r="E8">
        <v>3.9062000000000001</v>
      </c>
      <c r="F8">
        <v>3.9037999999999999</v>
      </c>
      <c r="G8">
        <v>3.9026000000000001</v>
      </c>
      <c r="H8">
        <v>3.9037999999999999</v>
      </c>
      <c r="I8">
        <v>22.9</v>
      </c>
      <c r="J8">
        <v>22.7</v>
      </c>
      <c r="K8" t="s">
        <v>1</v>
      </c>
      <c r="L8">
        <v>23.431999999999999</v>
      </c>
      <c r="M8">
        <v>2.37</v>
      </c>
      <c r="N8" t="s">
        <v>2</v>
      </c>
      <c r="O8">
        <v>9999</v>
      </c>
      <c r="P8" t="s">
        <v>3</v>
      </c>
      <c r="Q8">
        <v>9999</v>
      </c>
      <c r="R8">
        <v>7.3273999999999999</v>
      </c>
      <c r="S8" t="s">
        <v>4</v>
      </c>
      <c r="T8">
        <v>3.7646000000000002</v>
      </c>
      <c r="U8">
        <v>3.7633999999999999</v>
      </c>
      <c r="V8">
        <v>3.7658999999999998</v>
      </c>
      <c r="W8">
        <v>3.7622</v>
      </c>
      <c r="X8">
        <v>3.7646000000000002</v>
      </c>
      <c r="Y8">
        <v>3.7633999999999999</v>
      </c>
      <c r="Z8">
        <v>23.5</v>
      </c>
      <c r="AA8">
        <v>22.7</v>
      </c>
      <c r="AB8" t="s">
        <v>5</v>
      </c>
      <c r="AC8">
        <v>3.8782000000000001</v>
      </c>
      <c r="AD8">
        <v>3.8757000000000001</v>
      </c>
      <c r="AE8">
        <v>3.8769</v>
      </c>
      <c r="AF8">
        <v>3.8744999999999998</v>
      </c>
      <c r="AG8">
        <v>3.8733</v>
      </c>
      <c r="AH8">
        <v>3.8733</v>
      </c>
      <c r="AI8">
        <v>24.7</v>
      </c>
      <c r="AJ8">
        <v>22.8</v>
      </c>
      <c r="AK8">
        <f t="shared" si="0"/>
        <v>3.6000000000000476</v>
      </c>
      <c r="AL8">
        <f t="shared" si="1"/>
        <v>3.6999999999998145</v>
      </c>
      <c r="AM8">
        <f t="shared" si="2"/>
        <v>4.9000000000001265</v>
      </c>
      <c r="AP8" s="12" t="s">
        <v>112</v>
      </c>
      <c r="AQ8" s="12" t="s">
        <v>111</v>
      </c>
      <c r="AR8" s="12" t="s">
        <v>113</v>
      </c>
      <c r="AS8" s="12" t="s">
        <v>114</v>
      </c>
      <c r="AT8">
        <f t="shared" si="3"/>
        <v>23.251899999999999</v>
      </c>
    </row>
    <row r="9" spans="1:46" x14ac:dyDescent="0.25">
      <c r="A9" t="s">
        <v>15</v>
      </c>
      <c r="B9" t="s">
        <v>0</v>
      </c>
      <c r="C9">
        <v>3.9049999999999998</v>
      </c>
      <c r="D9">
        <v>3.9062000000000001</v>
      </c>
      <c r="E9">
        <v>3.9062000000000001</v>
      </c>
      <c r="F9">
        <v>3.9049999999999998</v>
      </c>
      <c r="G9">
        <v>3.9037999999999999</v>
      </c>
      <c r="H9">
        <v>3.9075000000000002</v>
      </c>
      <c r="I9">
        <v>23</v>
      </c>
      <c r="J9">
        <v>23</v>
      </c>
      <c r="K9" t="s">
        <v>1</v>
      </c>
      <c r="L9">
        <v>23.437000000000001</v>
      </c>
      <c r="M9">
        <v>2.37</v>
      </c>
      <c r="N9" t="s">
        <v>2</v>
      </c>
      <c r="O9">
        <v>9999</v>
      </c>
      <c r="P9" t="s">
        <v>3</v>
      </c>
      <c r="Q9">
        <v>9999</v>
      </c>
      <c r="R9">
        <v>7.3066000000000004</v>
      </c>
      <c r="S9" t="s">
        <v>4</v>
      </c>
      <c r="T9">
        <v>3.7646000000000002</v>
      </c>
      <c r="U9">
        <v>3.7671000000000001</v>
      </c>
      <c r="V9">
        <v>3.7658999999999998</v>
      </c>
      <c r="W9">
        <v>3.7658999999999998</v>
      </c>
      <c r="X9">
        <v>3.7671000000000001</v>
      </c>
      <c r="Y9">
        <v>3.7633999999999999</v>
      </c>
      <c r="Z9">
        <v>23.6</v>
      </c>
      <c r="AA9">
        <v>23.1</v>
      </c>
      <c r="AB9" t="s">
        <v>5</v>
      </c>
      <c r="AC9">
        <v>3.8757000000000001</v>
      </c>
      <c r="AD9">
        <v>3.8782000000000001</v>
      </c>
      <c r="AE9">
        <v>3.8769</v>
      </c>
      <c r="AF9">
        <v>3.8744999999999998</v>
      </c>
      <c r="AG9">
        <v>3.8744999999999998</v>
      </c>
      <c r="AH9">
        <v>3.8769</v>
      </c>
      <c r="AI9">
        <v>24.7</v>
      </c>
      <c r="AJ9">
        <v>23.2</v>
      </c>
      <c r="AK9">
        <f t="shared" si="0"/>
        <v>3.7000000000002586</v>
      </c>
      <c r="AL9">
        <f t="shared" si="1"/>
        <v>3.7000000000002586</v>
      </c>
      <c r="AM9">
        <f t="shared" si="2"/>
        <v>3.7000000000002586</v>
      </c>
      <c r="AO9" t="s">
        <v>109</v>
      </c>
      <c r="AP9" s="14">
        <f>AP15+AP14/2</f>
        <v>23.330906329113908</v>
      </c>
      <c r="AQ9" s="14">
        <f>$AS$3</f>
        <v>3.89</v>
      </c>
      <c r="AR9" s="13">
        <f>AQ9*AR5</f>
        <v>3.7552966907232759</v>
      </c>
      <c r="AS9" s="13">
        <f>AS5*AR9</f>
        <v>3.8649678249678248</v>
      </c>
      <c r="AT9">
        <f t="shared" si="3"/>
        <v>23.256699999999999</v>
      </c>
    </row>
    <row r="10" spans="1:46" x14ac:dyDescent="0.25">
      <c r="A10" t="s">
        <v>16</v>
      </c>
      <c r="B10" t="s">
        <v>0</v>
      </c>
      <c r="C10">
        <v>3.9062000000000001</v>
      </c>
      <c r="D10">
        <v>3.9062000000000001</v>
      </c>
      <c r="E10">
        <v>3.9037999999999999</v>
      </c>
      <c r="F10">
        <v>3.9062000000000001</v>
      </c>
      <c r="G10">
        <v>3.9037999999999999</v>
      </c>
      <c r="H10">
        <v>3.9037999999999999</v>
      </c>
      <c r="I10">
        <v>22.9</v>
      </c>
      <c r="J10">
        <v>23</v>
      </c>
      <c r="K10" t="s">
        <v>1</v>
      </c>
      <c r="L10">
        <v>23.434000000000001</v>
      </c>
      <c r="M10">
        <v>2.36</v>
      </c>
      <c r="N10" t="s">
        <v>2</v>
      </c>
      <c r="O10">
        <v>9999</v>
      </c>
      <c r="P10" t="s">
        <v>3</v>
      </c>
      <c r="Q10">
        <v>9999</v>
      </c>
      <c r="R10">
        <v>7.2679</v>
      </c>
      <c r="S10" t="s">
        <v>4</v>
      </c>
      <c r="T10">
        <v>3.7683</v>
      </c>
      <c r="U10">
        <v>3.7633999999999999</v>
      </c>
      <c r="V10">
        <v>3.7646000000000002</v>
      </c>
      <c r="W10">
        <v>3.7658999999999998</v>
      </c>
      <c r="X10">
        <v>3.7658999999999998</v>
      </c>
      <c r="Y10">
        <v>3.7671000000000001</v>
      </c>
      <c r="Z10">
        <v>23.7</v>
      </c>
      <c r="AA10">
        <v>23.1</v>
      </c>
      <c r="AB10" t="s">
        <v>5</v>
      </c>
      <c r="AC10">
        <v>3.8782000000000001</v>
      </c>
      <c r="AD10">
        <v>3.8757000000000001</v>
      </c>
      <c r="AE10">
        <v>3.8744999999999998</v>
      </c>
      <c r="AF10">
        <v>3.8769</v>
      </c>
      <c r="AG10">
        <v>3.8744999999999998</v>
      </c>
      <c r="AH10">
        <v>3.8757000000000001</v>
      </c>
      <c r="AI10">
        <v>25.2</v>
      </c>
      <c r="AJ10">
        <v>23.2</v>
      </c>
      <c r="AK10">
        <f t="shared" si="0"/>
        <v>2.4000000000001798</v>
      </c>
      <c r="AL10">
        <f t="shared" si="1"/>
        <v>4.9000000000001265</v>
      </c>
      <c r="AM10">
        <f t="shared" si="2"/>
        <v>3.7000000000002586</v>
      </c>
      <c r="AO10" t="s">
        <v>110</v>
      </c>
      <c r="AP10" s="14">
        <f>AP15-AP14/2</f>
        <v>23.18090632911391</v>
      </c>
      <c r="AQ10" s="14">
        <f>$AS$2</f>
        <v>3.86</v>
      </c>
      <c r="AR10" s="13">
        <f>AQ10*AR6-0.002</f>
        <v>3.7253597825091229</v>
      </c>
      <c r="AS10" s="13">
        <f>AS6*AR10+0.002</f>
        <v>3.8352932680142429</v>
      </c>
      <c r="AT10">
        <f t="shared" si="3"/>
        <v>23.255499999999998</v>
      </c>
    </row>
    <row r="11" spans="1:46" x14ac:dyDescent="0.25">
      <c r="A11" t="s">
        <v>17</v>
      </c>
      <c r="B11" t="s">
        <v>0</v>
      </c>
      <c r="C11">
        <v>3.9098999999999999</v>
      </c>
      <c r="D11">
        <v>3.9087000000000001</v>
      </c>
      <c r="E11">
        <v>3.9075000000000002</v>
      </c>
      <c r="F11">
        <v>3.9075000000000002</v>
      </c>
      <c r="G11">
        <v>3.9075000000000002</v>
      </c>
      <c r="H11">
        <v>3.9026000000000001</v>
      </c>
      <c r="I11">
        <v>23.5</v>
      </c>
      <c r="J11">
        <v>23.1</v>
      </c>
      <c r="K11" t="s">
        <v>1</v>
      </c>
      <c r="L11">
        <v>23.448</v>
      </c>
      <c r="M11">
        <v>2.38</v>
      </c>
      <c r="N11" t="s">
        <v>2</v>
      </c>
      <c r="O11">
        <v>9999</v>
      </c>
      <c r="P11" t="s">
        <v>3</v>
      </c>
      <c r="Q11">
        <v>9999</v>
      </c>
      <c r="R11">
        <v>7.0678999999999998</v>
      </c>
      <c r="S11" t="s">
        <v>4</v>
      </c>
      <c r="T11">
        <v>3.7744</v>
      </c>
      <c r="U11">
        <v>3.7755999999999998</v>
      </c>
      <c r="V11">
        <v>3.7671000000000001</v>
      </c>
      <c r="W11">
        <v>3.7719999999999998</v>
      </c>
      <c r="X11">
        <v>3.7768000000000002</v>
      </c>
      <c r="Y11">
        <v>3.7646000000000002</v>
      </c>
      <c r="Z11">
        <v>24.1</v>
      </c>
      <c r="AA11">
        <v>23.2</v>
      </c>
      <c r="AB11" t="s">
        <v>5</v>
      </c>
      <c r="AC11">
        <v>3.883</v>
      </c>
      <c r="AD11">
        <v>3.8818000000000001</v>
      </c>
      <c r="AE11">
        <v>3.8794</v>
      </c>
      <c r="AF11">
        <v>3.8794</v>
      </c>
      <c r="AG11">
        <v>3.8818000000000001</v>
      </c>
      <c r="AH11">
        <v>3.8733</v>
      </c>
      <c r="AI11">
        <v>25</v>
      </c>
      <c r="AJ11">
        <v>23.3</v>
      </c>
      <c r="AK11">
        <f t="shared" si="0"/>
        <v>7.2999999999998622</v>
      </c>
      <c r="AL11">
        <f t="shared" si="1"/>
        <v>12.199999999999989</v>
      </c>
      <c r="AM11">
        <f t="shared" si="2"/>
        <v>9.7000000000000419</v>
      </c>
      <c r="AP11" s="8">
        <f t="shared" ref="AP11:AR11" si="4">AP9-AP10</f>
        <v>0.14999999999999858</v>
      </c>
      <c r="AQ11" s="8">
        <f t="shared" si="4"/>
        <v>3.0000000000000249E-2</v>
      </c>
      <c r="AR11" s="8">
        <f t="shared" si="4"/>
        <v>2.9936908214152957E-2</v>
      </c>
      <c r="AS11" s="8">
        <f>AS9-AS10</f>
        <v>2.9674556953581899E-2</v>
      </c>
      <c r="AT11">
        <f t="shared" si="3"/>
        <v>23.278700000000001</v>
      </c>
    </row>
    <row r="12" spans="1:46" x14ac:dyDescent="0.25">
      <c r="A12" t="s">
        <v>18</v>
      </c>
      <c r="B12" t="s">
        <v>0</v>
      </c>
      <c r="C12">
        <v>3.9075000000000002</v>
      </c>
      <c r="D12">
        <v>3.9062000000000001</v>
      </c>
      <c r="E12">
        <v>3.9062000000000001</v>
      </c>
      <c r="F12">
        <v>3.9062000000000001</v>
      </c>
      <c r="G12">
        <v>3.9049999999999998</v>
      </c>
      <c r="H12">
        <v>3.9049999999999998</v>
      </c>
      <c r="I12">
        <v>22.7</v>
      </c>
      <c r="J12">
        <v>22.8</v>
      </c>
      <c r="K12" t="s">
        <v>1</v>
      </c>
      <c r="L12">
        <v>23.439</v>
      </c>
      <c r="M12">
        <v>2.36</v>
      </c>
      <c r="N12" t="s">
        <v>2</v>
      </c>
      <c r="O12">
        <v>9999</v>
      </c>
      <c r="P12" t="s">
        <v>3</v>
      </c>
      <c r="Q12">
        <v>9999</v>
      </c>
      <c r="R12">
        <v>7.2137000000000002</v>
      </c>
      <c r="S12" t="s">
        <v>4</v>
      </c>
      <c r="T12">
        <v>3.7719999999999998</v>
      </c>
      <c r="U12">
        <v>3.7622</v>
      </c>
      <c r="V12">
        <v>3.7671000000000001</v>
      </c>
      <c r="W12">
        <v>3.7646000000000002</v>
      </c>
      <c r="X12">
        <v>3.7694999999999999</v>
      </c>
      <c r="Y12">
        <v>3.7694999999999999</v>
      </c>
      <c r="Z12">
        <v>23.3</v>
      </c>
      <c r="AA12">
        <v>23</v>
      </c>
      <c r="AB12" t="s">
        <v>5</v>
      </c>
      <c r="AC12">
        <v>3.8805999999999998</v>
      </c>
      <c r="AD12">
        <v>3.8782000000000001</v>
      </c>
      <c r="AE12">
        <v>3.8757000000000001</v>
      </c>
      <c r="AF12">
        <v>3.8769</v>
      </c>
      <c r="AG12">
        <v>3.8757000000000001</v>
      </c>
      <c r="AH12">
        <v>3.8782000000000001</v>
      </c>
      <c r="AI12">
        <v>24.3</v>
      </c>
      <c r="AJ12">
        <v>23.1</v>
      </c>
      <c r="AK12">
        <f t="shared" si="0"/>
        <v>2.5000000000003908</v>
      </c>
      <c r="AL12">
        <f t="shared" si="1"/>
        <v>9.7999999999998089</v>
      </c>
      <c r="AM12">
        <f t="shared" si="2"/>
        <v>4.8999999999996824</v>
      </c>
      <c r="AT12">
        <f t="shared" si="3"/>
        <v>23.265299999999996</v>
      </c>
    </row>
    <row r="13" spans="1:46" x14ac:dyDescent="0.25">
      <c r="A13" t="s">
        <v>19</v>
      </c>
      <c r="B13" t="s">
        <v>0</v>
      </c>
      <c r="C13">
        <v>3.9049999999999998</v>
      </c>
      <c r="D13">
        <v>3.9049999999999998</v>
      </c>
      <c r="E13">
        <v>3.9049999999999998</v>
      </c>
      <c r="F13">
        <v>3.9075000000000002</v>
      </c>
      <c r="G13">
        <v>3.9037999999999999</v>
      </c>
      <c r="H13">
        <v>3.9037999999999999</v>
      </c>
      <c r="I13">
        <v>22.9</v>
      </c>
      <c r="J13">
        <v>22.6</v>
      </c>
      <c r="K13" t="s">
        <v>1</v>
      </c>
      <c r="L13">
        <v>23.434000000000001</v>
      </c>
      <c r="M13">
        <v>2.34</v>
      </c>
      <c r="N13" t="s">
        <v>2</v>
      </c>
      <c r="O13">
        <v>9999</v>
      </c>
      <c r="P13" t="s">
        <v>3</v>
      </c>
      <c r="Q13">
        <v>9999</v>
      </c>
      <c r="R13">
        <v>7.2007000000000003</v>
      </c>
      <c r="S13" t="s">
        <v>4</v>
      </c>
      <c r="T13">
        <v>3.7658999999999998</v>
      </c>
      <c r="U13">
        <v>3.7671000000000001</v>
      </c>
      <c r="V13">
        <v>3.7671000000000001</v>
      </c>
      <c r="W13">
        <v>3.7694999999999999</v>
      </c>
      <c r="X13">
        <v>3.7646000000000002</v>
      </c>
      <c r="Y13">
        <v>3.7658999999999998</v>
      </c>
      <c r="Z13">
        <v>23.5</v>
      </c>
      <c r="AA13">
        <v>22.8</v>
      </c>
      <c r="AB13" t="s">
        <v>5</v>
      </c>
      <c r="AC13">
        <v>3.8757000000000001</v>
      </c>
      <c r="AD13">
        <v>3.8757000000000001</v>
      </c>
      <c r="AE13">
        <v>3.8757000000000001</v>
      </c>
      <c r="AF13">
        <v>3.8782000000000001</v>
      </c>
      <c r="AG13">
        <v>3.8733</v>
      </c>
      <c r="AH13">
        <v>3.8744999999999998</v>
      </c>
      <c r="AI13">
        <v>24.6</v>
      </c>
      <c r="AJ13">
        <v>22.9</v>
      </c>
      <c r="AK13">
        <f t="shared" si="0"/>
        <v>3.7000000000002586</v>
      </c>
      <c r="AL13">
        <f t="shared" si="1"/>
        <v>4.8999999999996824</v>
      </c>
      <c r="AM13">
        <f t="shared" si="2"/>
        <v>4.9000000000001265</v>
      </c>
      <c r="AT13">
        <f t="shared" si="3"/>
        <v>23.2531</v>
      </c>
    </row>
    <row r="14" spans="1:46" x14ac:dyDescent="0.25">
      <c r="A14" t="s">
        <v>20</v>
      </c>
      <c r="B14" t="s">
        <v>0</v>
      </c>
      <c r="C14">
        <v>3.9075000000000002</v>
      </c>
      <c r="D14">
        <v>3.9049999999999998</v>
      </c>
      <c r="E14">
        <v>3.9049999999999998</v>
      </c>
      <c r="F14">
        <v>3.9098999999999999</v>
      </c>
      <c r="G14">
        <v>3.9049999999999998</v>
      </c>
      <c r="H14">
        <v>3.9062000000000001</v>
      </c>
      <c r="I14">
        <v>22.8</v>
      </c>
      <c r="J14">
        <v>23</v>
      </c>
      <c r="K14" t="s">
        <v>1</v>
      </c>
      <c r="L14">
        <v>23.443000000000001</v>
      </c>
      <c r="M14">
        <v>2.38</v>
      </c>
      <c r="N14" t="s">
        <v>2</v>
      </c>
      <c r="O14">
        <v>9999</v>
      </c>
      <c r="P14" t="s">
        <v>3</v>
      </c>
      <c r="Q14">
        <v>9999</v>
      </c>
      <c r="R14">
        <v>7.2446999999999999</v>
      </c>
      <c r="S14" t="s">
        <v>4</v>
      </c>
      <c r="T14">
        <v>3.7671000000000001</v>
      </c>
      <c r="U14">
        <v>3.7671000000000001</v>
      </c>
      <c r="V14">
        <v>3.7658999999999998</v>
      </c>
      <c r="W14">
        <v>3.7732000000000001</v>
      </c>
      <c r="X14">
        <v>3.7658999999999998</v>
      </c>
      <c r="Y14">
        <v>3.7671000000000001</v>
      </c>
      <c r="Z14">
        <v>23.5</v>
      </c>
      <c r="AA14">
        <v>23.1</v>
      </c>
      <c r="AB14" t="s">
        <v>5</v>
      </c>
      <c r="AC14">
        <v>3.8782000000000001</v>
      </c>
      <c r="AD14">
        <v>3.8757000000000001</v>
      </c>
      <c r="AE14">
        <v>3.8757000000000001</v>
      </c>
      <c r="AF14">
        <v>3.8818000000000001</v>
      </c>
      <c r="AG14">
        <v>3.8757000000000001</v>
      </c>
      <c r="AH14">
        <v>3.8769</v>
      </c>
      <c r="AI14">
        <v>24.7</v>
      </c>
      <c r="AJ14">
        <v>23.2</v>
      </c>
      <c r="AK14">
        <f t="shared" si="0"/>
        <v>4.9000000000001265</v>
      </c>
      <c r="AL14">
        <f t="shared" si="1"/>
        <v>7.3000000000003062</v>
      </c>
      <c r="AM14">
        <f t="shared" si="2"/>
        <v>6.0999999999999943</v>
      </c>
      <c r="AP14">
        <f>23.51-23.36</f>
        <v>0.15000000000000213</v>
      </c>
      <c r="AT14">
        <f t="shared" si="3"/>
        <v>23.263999999999999</v>
      </c>
    </row>
    <row r="15" spans="1:46" x14ac:dyDescent="0.25">
      <c r="A15" t="s">
        <v>21</v>
      </c>
      <c r="B15" t="s">
        <v>0</v>
      </c>
      <c r="C15">
        <v>3.9075000000000002</v>
      </c>
      <c r="D15">
        <v>3.9062000000000001</v>
      </c>
      <c r="E15">
        <v>3.9062000000000001</v>
      </c>
      <c r="F15">
        <v>3.9123000000000001</v>
      </c>
      <c r="G15">
        <v>3.9049999999999998</v>
      </c>
      <c r="H15">
        <v>3.9049999999999998</v>
      </c>
      <c r="I15">
        <v>22.9</v>
      </c>
      <c r="J15">
        <v>22.9</v>
      </c>
      <c r="K15" t="s">
        <v>1</v>
      </c>
      <c r="L15">
        <v>23.446000000000002</v>
      </c>
      <c r="M15">
        <v>2.38</v>
      </c>
      <c r="N15" t="s">
        <v>2</v>
      </c>
      <c r="O15">
        <v>9999</v>
      </c>
      <c r="P15" t="s">
        <v>3</v>
      </c>
      <c r="Q15">
        <v>9999</v>
      </c>
      <c r="R15">
        <v>7.2256999999999998</v>
      </c>
      <c r="S15" t="s">
        <v>4</v>
      </c>
      <c r="T15">
        <v>3.7683</v>
      </c>
      <c r="U15">
        <v>3.7694999999999999</v>
      </c>
      <c r="V15">
        <v>3.7683</v>
      </c>
      <c r="W15">
        <v>3.7719999999999998</v>
      </c>
      <c r="X15">
        <v>3.7658999999999998</v>
      </c>
      <c r="Y15">
        <v>3.7671000000000001</v>
      </c>
      <c r="Z15">
        <v>23.5</v>
      </c>
      <c r="AA15">
        <v>23</v>
      </c>
      <c r="AB15" t="s">
        <v>5</v>
      </c>
      <c r="AC15">
        <v>3.8782000000000001</v>
      </c>
      <c r="AD15">
        <v>3.8782000000000001</v>
      </c>
      <c r="AE15">
        <v>3.8782000000000001</v>
      </c>
      <c r="AF15">
        <v>3.8855</v>
      </c>
      <c r="AG15">
        <v>3.8757000000000001</v>
      </c>
      <c r="AH15">
        <v>3.8757000000000001</v>
      </c>
      <c r="AI15">
        <v>24.6</v>
      </c>
      <c r="AJ15">
        <v>23.1</v>
      </c>
      <c r="AK15">
        <f t="shared" si="0"/>
        <v>7.3000000000003062</v>
      </c>
      <c r="AL15">
        <f t="shared" si="1"/>
        <v>6.0999999999999943</v>
      </c>
      <c r="AM15">
        <f t="shared" si="2"/>
        <v>9.7999999999998089</v>
      </c>
      <c r="AP15" s="8">
        <f>AVERAGE(AT2:AT80)</f>
        <v>23.255906329113909</v>
      </c>
      <c r="AT15">
        <f t="shared" si="3"/>
        <v>23.271500000000003</v>
      </c>
    </row>
    <row r="16" spans="1:46" x14ac:dyDescent="0.25">
      <c r="A16" t="s">
        <v>22</v>
      </c>
      <c r="B16" t="s">
        <v>0</v>
      </c>
      <c r="C16">
        <v>3.9075000000000002</v>
      </c>
      <c r="D16">
        <v>3.9075000000000002</v>
      </c>
      <c r="E16">
        <v>3.9075000000000002</v>
      </c>
      <c r="F16">
        <v>3.9075000000000002</v>
      </c>
      <c r="G16">
        <v>3.9049999999999998</v>
      </c>
      <c r="H16">
        <v>3.9062000000000001</v>
      </c>
      <c r="I16">
        <v>22.9</v>
      </c>
      <c r="J16">
        <v>22.8</v>
      </c>
      <c r="K16" t="s">
        <v>1</v>
      </c>
      <c r="L16">
        <v>23.445</v>
      </c>
      <c r="M16">
        <v>2.33</v>
      </c>
      <c r="N16" t="s">
        <v>2</v>
      </c>
      <c r="O16">
        <v>9999</v>
      </c>
      <c r="P16" t="s">
        <v>3</v>
      </c>
      <c r="Q16">
        <v>9999</v>
      </c>
      <c r="R16">
        <v>7.2679</v>
      </c>
      <c r="S16" t="s">
        <v>4</v>
      </c>
      <c r="T16">
        <v>3.7683</v>
      </c>
      <c r="U16">
        <v>3.7683</v>
      </c>
      <c r="V16">
        <v>3.7671000000000001</v>
      </c>
      <c r="W16">
        <v>3.7646000000000002</v>
      </c>
      <c r="X16">
        <v>3.7671000000000001</v>
      </c>
      <c r="Y16">
        <v>3.7694999999999999</v>
      </c>
      <c r="Z16">
        <v>23.8</v>
      </c>
      <c r="AA16">
        <v>22.9</v>
      </c>
      <c r="AB16" t="s">
        <v>5</v>
      </c>
      <c r="AC16">
        <v>3.8794</v>
      </c>
      <c r="AD16">
        <v>3.8782000000000001</v>
      </c>
      <c r="AE16">
        <v>3.8782000000000001</v>
      </c>
      <c r="AF16">
        <v>3.8769</v>
      </c>
      <c r="AG16">
        <v>3.8757000000000001</v>
      </c>
      <c r="AH16">
        <v>3.8782000000000001</v>
      </c>
      <c r="AI16">
        <v>25.1</v>
      </c>
      <c r="AJ16">
        <v>23</v>
      </c>
      <c r="AK16">
        <f t="shared" si="0"/>
        <v>2.5000000000003908</v>
      </c>
      <c r="AL16">
        <f t="shared" si="1"/>
        <v>4.8999999999996824</v>
      </c>
      <c r="AM16">
        <f t="shared" si="2"/>
        <v>3.6999999999998145</v>
      </c>
      <c r="AT16">
        <f t="shared" si="3"/>
        <v>23.266599999999997</v>
      </c>
    </row>
    <row r="17" spans="1:46" x14ac:dyDescent="0.25">
      <c r="A17" t="s">
        <v>23</v>
      </c>
      <c r="B17" t="s">
        <v>0</v>
      </c>
      <c r="C17">
        <v>3.9098999999999999</v>
      </c>
      <c r="D17">
        <v>3.9062000000000001</v>
      </c>
      <c r="E17">
        <v>3.9062000000000001</v>
      </c>
      <c r="F17">
        <v>3.9062000000000001</v>
      </c>
      <c r="G17">
        <v>3.9075000000000002</v>
      </c>
      <c r="H17">
        <v>3.9049999999999998</v>
      </c>
      <c r="I17">
        <v>22.9</v>
      </c>
      <c r="J17">
        <v>23.4</v>
      </c>
      <c r="K17" t="s">
        <v>1</v>
      </c>
      <c r="L17">
        <v>23.443999999999999</v>
      </c>
      <c r="M17">
        <v>2.39</v>
      </c>
      <c r="N17" t="s">
        <v>2</v>
      </c>
      <c r="O17">
        <v>9999</v>
      </c>
      <c r="P17" t="s">
        <v>3</v>
      </c>
      <c r="Q17">
        <v>9999</v>
      </c>
      <c r="R17">
        <v>7.2531999999999996</v>
      </c>
      <c r="S17" t="s">
        <v>4</v>
      </c>
      <c r="T17">
        <v>3.7707000000000002</v>
      </c>
      <c r="U17">
        <v>3.7707000000000002</v>
      </c>
      <c r="V17">
        <v>3.7658999999999998</v>
      </c>
      <c r="W17">
        <v>3.7671000000000001</v>
      </c>
      <c r="X17">
        <v>3.7707000000000002</v>
      </c>
      <c r="Y17">
        <v>3.7610000000000001</v>
      </c>
      <c r="Z17">
        <v>23.4</v>
      </c>
      <c r="AA17">
        <v>23.2</v>
      </c>
      <c r="AB17" t="s">
        <v>5</v>
      </c>
      <c r="AC17">
        <v>3.8818000000000001</v>
      </c>
      <c r="AD17">
        <v>3.8782000000000001</v>
      </c>
      <c r="AE17">
        <v>3.8782000000000001</v>
      </c>
      <c r="AF17">
        <v>3.8769</v>
      </c>
      <c r="AG17">
        <v>3.8794</v>
      </c>
      <c r="AH17">
        <v>3.8757000000000001</v>
      </c>
      <c r="AI17">
        <v>24.5</v>
      </c>
      <c r="AJ17">
        <v>23.3</v>
      </c>
      <c r="AK17">
        <f t="shared" si="0"/>
        <v>4.9000000000001265</v>
      </c>
      <c r="AL17">
        <f t="shared" si="1"/>
        <v>9.7000000000000419</v>
      </c>
      <c r="AM17">
        <f t="shared" si="2"/>
        <v>6.0999999999999943</v>
      </c>
      <c r="AT17">
        <f t="shared" si="3"/>
        <v>23.270200000000003</v>
      </c>
    </row>
    <row r="18" spans="1:46" x14ac:dyDescent="0.25">
      <c r="A18" t="s">
        <v>24</v>
      </c>
      <c r="B18" t="s">
        <v>0</v>
      </c>
      <c r="C18">
        <v>3.9075000000000002</v>
      </c>
      <c r="D18">
        <v>3.9087000000000001</v>
      </c>
      <c r="E18">
        <v>3.9049999999999998</v>
      </c>
      <c r="F18">
        <v>3.9087000000000001</v>
      </c>
      <c r="G18">
        <v>3.9087000000000001</v>
      </c>
      <c r="H18">
        <v>3.9037999999999999</v>
      </c>
      <c r="I18">
        <v>23.1</v>
      </c>
      <c r="J18">
        <v>23</v>
      </c>
      <c r="K18" t="s">
        <v>1</v>
      </c>
      <c r="L18">
        <v>23.446999999999999</v>
      </c>
      <c r="M18">
        <v>2.36</v>
      </c>
      <c r="N18" t="s">
        <v>2</v>
      </c>
      <c r="O18">
        <v>9999</v>
      </c>
      <c r="P18" t="s">
        <v>3</v>
      </c>
      <c r="Q18">
        <v>9999</v>
      </c>
      <c r="R18">
        <v>7.1962999999999999</v>
      </c>
      <c r="S18" t="s">
        <v>4</v>
      </c>
      <c r="T18">
        <v>3.7658999999999998</v>
      </c>
      <c r="U18">
        <v>3.7719999999999998</v>
      </c>
      <c r="V18">
        <v>3.7683</v>
      </c>
      <c r="W18">
        <v>3.7707000000000002</v>
      </c>
      <c r="X18">
        <v>3.7732000000000001</v>
      </c>
      <c r="Y18">
        <v>3.7658999999999998</v>
      </c>
      <c r="Z18">
        <v>23.8</v>
      </c>
      <c r="AA18">
        <v>23.1</v>
      </c>
      <c r="AB18" t="s">
        <v>5</v>
      </c>
      <c r="AC18">
        <v>3.8769</v>
      </c>
      <c r="AD18">
        <v>3.8794</v>
      </c>
      <c r="AE18">
        <v>3.8757000000000001</v>
      </c>
      <c r="AF18">
        <v>3.8805999999999998</v>
      </c>
      <c r="AG18">
        <v>3.8805999999999998</v>
      </c>
      <c r="AH18">
        <v>3.8757000000000001</v>
      </c>
      <c r="AI18">
        <v>25.3</v>
      </c>
      <c r="AJ18">
        <v>23.2</v>
      </c>
      <c r="AK18">
        <f t="shared" si="0"/>
        <v>4.9000000000001265</v>
      </c>
      <c r="AL18">
        <f t="shared" si="1"/>
        <v>7.3000000000003062</v>
      </c>
      <c r="AM18">
        <f t="shared" si="2"/>
        <v>4.8999999999996824</v>
      </c>
      <c r="AT18">
        <f t="shared" si="3"/>
        <v>23.268900000000002</v>
      </c>
    </row>
    <row r="19" spans="1:46" x14ac:dyDescent="0.25">
      <c r="A19" t="s">
        <v>25</v>
      </c>
      <c r="B19" t="s">
        <v>0</v>
      </c>
      <c r="C19">
        <v>3.9075000000000002</v>
      </c>
      <c r="D19">
        <v>3.8976999999999999</v>
      </c>
      <c r="E19">
        <v>3.9075000000000002</v>
      </c>
      <c r="F19">
        <v>3.9062000000000001</v>
      </c>
      <c r="G19">
        <v>3.9062000000000001</v>
      </c>
      <c r="H19">
        <v>3.9087000000000001</v>
      </c>
      <c r="I19">
        <v>23</v>
      </c>
      <c r="J19">
        <v>22.8</v>
      </c>
      <c r="K19" t="s">
        <v>1</v>
      </c>
      <c r="L19">
        <v>23.437000000000001</v>
      </c>
      <c r="M19">
        <v>2.36</v>
      </c>
      <c r="N19" t="s">
        <v>2</v>
      </c>
      <c r="O19">
        <v>9999</v>
      </c>
      <c r="P19" t="s">
        <v>3</v>
      </c>
      <c r="Q19">
        <v>9999</v>
      </c>
      <c r="R19">
        <v>7.2705000000000002</v>
      </c>
      <c r="S19" t="s">
        <v>4</v>
      </c>
      <c r="T19">
        <v>3.7658999999999998</v>
      </c>
      <c r="U19">
        <v>3.7549000000000001</v>
      </c>
      <c r="V19">
        <v>3.7719999999999998</v>
      </c>
      <c r="W19">
        <v>3.7658999999999998</v>
      </c>
      <c r="X19">
        <v>3.7694999999999999</v>
      </c>
      <c r="Y19">
        <v>3.7683</v>
      </c>
      <c r="Z19">
        <v>23.5</v>
      </c>
      <c r="AA19">
        <v>22.8</v>
      </c>
      <c r="AB19" t="s">
        <v>5</v>
      </c>
      <c r="AC19">
        <v>3.8782000000000001</v>
      </c>
      <c r="AD19">
        <v>3.8672</v>
      </c>
      <c r="AE19">
        <v>3.8782000000000001</v>
      </c>
      <c r="AF19">
        <v>3.8769</v>
      </c>
      <c r="AG19">
        <v>3.8769</v>
      </c>
      <c r="AH19">
        <v>3.8794</v>
      </c>
      <c r="AI19">
        <v>24.6</v>
      </c>
      <c r="AJ19">
        <v>22.9</v>
      </c>
      <c r="AK19">
        <f t="shared" si="0"/>
        <v>11.000000000000121</v>
      </c>
      <c r="AL19">
        <f t="shared" si="1"/>
        <v>17.099999999999671</v>
      </c>
      <c r="AM19">
        <f t="shared" si="2"/>
        <v>12.199999999999989</v>
      </c>
      <c r="AT19">
        <f t="shared" si="3"/>
        <v>23.256799999999998</v>
      </c>
    </row>
    <row r="20" spans="1:46" x14ac:dyDescent="0.25">
      <c r="A20" t="s">
        <v>26</v>
      </c>
      <c r="B20" t="s">
        <v>0</v>
      </c>
      <c r="C20">
        <v>3.9062000000000001</v>
      </c>
      <c r="D20">
        <v>3.9037999999999999</v>
      </c>
      <c r="E20">
        <v>3.9062000000000001</v>
      </c>
      <c r="F20">
        <v>3.9062000000000001</v>
      </c>
      <c r="G20">
        <v>3.9026000000000001</v>
      </c>
      <c r="H20">
        <v>3.9062000000000001</v>
      </c>
      <c r="I20">
        <v>22.6</v>
      </c>
      <c r="J20">
        <v>22.5</v>
      </c>
      <c r="K20" t="s">
        <v>1</v>
      </c>
      <c r="L20">
        <v>23.436</v>
      </c>
      <c r="M20">
        <v>2.44</v>
      </c>
      <c r="N20" t="s">
        <v>2</v>
      </c>
      <c r="O20">
        <v>4520</v>
      </c>
      <c r="P20" t="s">
        <v>3</v>
      </c>
      <c r="Q20">
        <v>4580</v>
      </c>
      <c r="R20">
        <v>7.5035999999999996</v>
      </c>
      <c r="S20" t="s">
        <v>4</v>
      </c>
      <c r="T20">
        <v>3.7622</v>
      </c>
      <c r="U20">
        <v>3.7597999999999998</v>
      </c>
      <c r="V20">
        <v>3.7585000000000002</v>
      </c>
      <c r="W20">
        <v>3.7671000000000001</v>
      </c>
      <c r="X20">
        <v>3.7585000000000002</v>
      </c>
      <c r="Y20">
        <v>3.7622</v>
      </c>
      <c r="Z20">
        <v>23.1</v>
      </c>
      <c r="AA20">
        <v>22.6</v>
      </c>
      <c r="AB20" t="s">
        <v>5</v>
      </c>
      <c r="AC20">
        <v>3.8769</v>
      </c>
      <c r="AD20">
        <v>3.8744999999999998</v>
      </c>
      <c r="AE20">
        <v>3.8769</v>
      </c>
      <c r="AF20">
        <v>3.8782000000000001</v>
      </c>
      <c r="AG20">
        <v>3.8733</v>
      </c>
      <c r="AH20">
        <v>3.8757000000000001</v>
      </c>
      <c r="AI20">
        <v>24.2</v>
      </c>
      <c r="AJ20">
        <v>22.7</v>
      </c>
      <c r="AK20">
        <f t="shared" si="0"/>
        <v>3.6000000000000476</v>
      </c>
      <c r="AL20">
        <f t="shared" si="1"/>
        <v>8.599999999999941</v>
      </c>
      <c r="AM20">
        <f t="shared" si="2"/>
        <v>4.9000000000001265</v>
      </c>
      <c r="AT20">
        <f t="shared" si="3"/>
        <v>23.255499999999998</v>
      </c>
    </row>
    <row r="21" spans="1:46" x14ac:dyDescent="0.25">
      <c r="A21" t="s">
        <v>27</v>
      </c>
      <c r="B21" t="s">
        <v>0</v>
      </c>
      <c r="C21">
        <v>3.9062000000000001</v>
      </c>
      <c r="D21">
        <v>3.9075000000000002</v>
      </c>
      <c r="E21">
        <v>3.9075000000000002</v>
      </c>
      <c r="F21">
        <v>3.9049999999999998</v>
      </c>
      <c r="G21">
        <v>3.9062000000000001</v>
      </c>
      <c r="H21">
        <v>3.9062000000000001</v>
      </c>
      <c r="I21">
        <v>23.1</v>
      </c>
      <c r="J21">
        <v>23</v>
      </c>
      <c r="K21" t="s">
        <v>1</v>
      </c>
      <c r="L21">
        <v>23.442</v>
      </c>
      <c r="M21">
        <v>2.38</v>
      </c>
      <c r="N21" t="s">
        <v>2</v>
      </c>
      <c r="O21">
        <v>9999</v>
      </c>
      <c r="P21" t="s">
        <v>3</v>
      </c>
      <c r="Q21">
        <v>9999</v>
      </c>
      <c r="R21">
        <v>7.2763999999999998</v>
      </c>
      <c r="S21" t="s">
        <v>4</v>
      </c>
      <c r="T21">
        <v>3.7671000000000001</v>
      </c>
      <c r="U21">
        <v>3.7671000000000001</v>
      </c>
      <c r="V21">
        <v>3.7732000000000001</v>
      </c>
      <c r="W21">
        <v>3.7622</v>
      </c>
      <c r="X21">
        <v>3.7658999999999998</v>
      </c>
      <c r="Y21">
        <v>3.7658999999999998</v>
      </c>
      <c r="Z21">
        <v>23.8</v>
      </c>
      <c r="AA21">
        <v>23.1</v>
      </c>
      <c r="AB21" t="s">
        <v>5</v>
      </c>
      <c r="AC21">
        <v>3.8769</v>
      </c>
      <c r="AD21">
        <v>3.8782000000000001</v>
      </c>
      <c r="AE21">
        <v>3.8805999999999998</v>
      </c>
      <c r="AF21">
        <v>3.8744999999999998</v>
      </c>
      <c r="AG21">
        <v>3.8769</v>
      </c>
      <c r="AH21">
        <v>3.8769</v>
      </c>
      <c r="AI21">
        <v>25.1</v>
      </c>
      <c r="AJ21">
        <v>23.2</v>
      </c>
      <c r="AK21">
        <f t="shared" si="0"/>
        <v>2.5000000000003908</v>
      </c>
      <c r="AL21">
        <f t="shared" si="1"/>
        <v>11.000000000000121</v>
      </c>
      <c r="AM21">
        <f t="shared" si="2"/>
        <v>6.0999999999999943</v>
      </c>
      <c r="AT21">
        <f t="shared" si="3"/>
        <v>23.263999999999999</v>
      </c>
    </row>
    <row r="22" spans="1:46" x14ac:dyDescent="0.25">
      <c r="A22" t="s">
        <v>28</v>
      </c>
      <c r="B22" t="s">
        <v>0</v>
      </c>
      <c r="C22">
        <v>3.9049999999999998</v>
      </c>
      <c r="D22">
        <v>3.9026000000000001</v>
      </c>
      <c r="E22">
        <v>3.9026000000000001</v>
      </c>
      <c r="F22">
        <v>3.9049999999999998</v>
      </c>
      <c r="G22">
        <v>3.9037999999999999</v>
      </c>
      <c r="H22">
        <v>3.9037999999999999</v>
      </c>
      <c r="I22">
        <v>23.1</v>
      </c>
      <c r="J22">
        <v>23.1</v>
      </c>
      <c r="K22" t="s">
        <v>1</v>
      </c>
      <c r="L22">
        <v>23.427</v>
      </c>
      <c r="M22">
        <v>2.4</v>
      </c>
      <c r="N22" t="s">
        <v>2</v>
      </c>
      <c r="O22">
        <v>9999</v>
      </c>
      <c r="P22" t="s">
        <v>3</v>
      </c>
      <c r="Q22">
        <v>9999</v>
      </c>
      <c r="R22">
        <v>7.3625999999999996</v>
      </c>
      <c r="S22" t="s">
        <v>4</v>
      </c>
      <c r="T22">
        <v>3.7658999999999998</v>
      </c>
      <c r="U22">
        <v>3.7561</v>
      </c>
      <c r="V22">
        <v>3.7646000000000002</v>
      </c>
      <c r="W22">
        <v>3.7585000000000002</v>
      </c>
      <c r="X22">
        <v>3.7646000000000002</v>
      </c>
      <c r="Y22">
        <v>3.7658999999999998</v>
      </c>
      <c r="Z22">
        <v>23.8</v>
      </c>
      <c r="AA22">
        <v>23.2</v>
      </c>
      <c r="AB22" t="s">
        <v>5</v>
      </c>
      <c r="AC22">
        <v>3.8769</v>
      </c>
      <c r="AD22">
        <v>3.8721000000000001</v>
      </c>
      <c r="AE22">
        <v>3.8733</v>
      </c>
      <c r="AF22">
        <v>3.8757000000000001</v>
      </c>
      <c r="AG22">
        <v>3.8744999999999998</v>
      </c>
      <c r="AH22">
        <v>3.8744999999999998</v>
      </c>
      <c r="AI22">
        <v>25</v>
      </c>
      <c r="AJ22">
        <v>23.4</v>
      </c>
      <c r="AK22">
        <f t="shared" si="0"/>
        <v>2.3999999999997357</v>
      </c>
      <c r="AL22">
        <f t="shared" si="1"/>
        <v>9.7999999999998089</v>
      </c>
      <c r="AM22">
        <f t="shared" si="2"/>
        <v>4.7999999999999154</v>
      </c>
      <c r="AT22">
        <f t="shared" si="3"/>
        <v>23.247000000000003</v>
      </c>
    </row>
    <row r="23" spans="1:46" x14ac:dyDescent="0.25">
      <c r="A23" t="s">
        <v>29</v>
      </c>
      <c r="B23" t="s">
        <v>0</v>
      </c>
      <c r="C23">
        <v>3.9049999999999998</v>
      </c>
      <c r="D23">
        <v>3.9049999999999998</v>
      </c>
      <c r="E23">
        <v>3.9049999999999998</v>
      </c>
      <c r="F23">
        <v>3.9062000000000001</v>
      </c>
      <c r="G23">
        <v>3.9062000000000001</v>
      </c>
      <c r="H23">
        <v>3.9037999999999999</v>
      </c>
      <c r="I23">
        <v>23</v>
      </c>
      <c r="J23">
        <v>22.8</v>
      </c>
      <c r="K23" t="s">
        <v>1</v>
      </c>
      <c r="L23">
        <v>23.434999999999999</v>
      </c>
      <c r="M23">
        <v>2.34</v>
      </c>
      <c r="N23" t="s">
        <v>2</v>
      </c>
      <c r="O23">
        <v>9999</v>
      </c>
      <c r="P23" t="s">
        <v>3</v>
      </c>
      <c r="Q23">
        <v>9999</v>
      </c>
      <c r="R23">
        <v>7.2308000000000003</v>
      </c>
      <c r="S23" t="s">
        <v>4</v>
      </c>
      <c r="T23">
        <v>3.7658999999999998</v>
      </c>
      <c r="U23">
        <v>3.7646000000000002</v>
      </c>
      <c r="V23">
        <v>3.7671000000000001</v>
      </c>
      <c r="W23">
        <v>3.7671000000000001</v>
      </c>
      <c r="X23">
        <v>3.7671000000000001</v>
      </c>
      <c r="Y23">
        <v>3.7671000000000001</v>
      </c>
      <c r="Z23">
        <v>23.7</v>
      </c>
      <c r="AA23">
        <v>22.9</v>
      </c>
      <c r="AB23" t="s">
        <v>5</v>
      </c>
      <c r="AC23">
        <v>3.8744999999999998</v>
      </c>
      <c r="AD23">
        <v>3.8744999999999998</v>
      </c>
      <c r="AE23">
        <v>3.8757000000000001</v>
      </c>
      <c r="AF23">
        <v>3.8782000000000001</v>
      </c>
      <c r="AG23">
        <v>3.8769</v>
      </c>
      <c r="AH23">
        <v>3.8757000000000001</v>
      </c>
      <c r="AI23">
        <v>25</v>
      </c>
      <c r="AJ23">
        <v>23</v>
      </c>
      <c r="AK23">
        <f t="shared" si="0"/>
        <v>2.4000000000001798</v>
      </c>
      <c r="AL23">
        <f t="shared" si="1"/>
        <v>2.4999999999999467</v>
      </c>
      <c r="AM23">
        <f t="shared" si="2"/>
        <v>3.7000000000002586</v>
      </c>
      <c r="AT23">
        <f t="shared" si="3"/>
        <v>23.255499999999998</v>
      </c>
    </row>
    <row r="24" spans="1:46" x14ac:dyDescent="0.25">
      <c r="A24" t="s">
        <v>30</v>
      </c>
      <c r="B24" t="s">
        <v>0</v>
      </c>
      <c r="C24">
        <v>3.9049999999999998</v>
      </c>
      <c r="D24">
        <v>3.9037999999999999</v>
      </c>
      <c r="E24">
        <v>3.9037999999999999</v>
      </c>
      <c r="F24">
        <v>3.9037999999999999</v>
      </c>
      <c r="G24">
        <v>3.9037999999999999</v>
      </c>
      <c r="H24">
        <v>3.9026000000000001</v>
      </c>
      <c r="I24">
        <v>23.3</v>
      </c>
      <c r="J24">
        <v>23</v>
      </c>
      <c r="K24" t="s">
        <v>1</v>
      </c>
      <c r="L24">
        <v>23.427</v>
      </c>
      <c r="M24">
        <v>2.38</v>
      </c>
      <c r="N24" t="s">
        <v>2</v>
      </c>
      <c r="O24">
        <v>9999</v>
      </c>
      <c r="P24" t="s">
        <v>3</v>
      </c>
      <c r="Q24">
        <v>9999</v>
      </c>
      <c r="R24">
        <v>7.2652999999999999</v>
      </c>
      <c r="S24" t="s">
        <v>4</v>
      </c>
      <c r="T24">
        <v>3.7671000000000001</v>
      </c>
      <c r="U24">
        <v>3.7622</v>
      </c>
      <c r="V24">
        <v>3.7658999999999998</v>
      </c>
      <c r="W24">
        <v>3.7633999999999999</v>
      </c>
      <c r="X24">
        <v>3.7658999999999998</v>
      </c>
      <c r="Y24">
        <v>3.7633999999999999</v>
      </c>
      <c r="Z24">
        <v>23.6</v>
      </c>
      <c r="AA24">
        <v>23</v>
      </c>
      <c r="AB24" t="s">
        <v>5</v>
      </c>
      <c r="AC24">
        <v>3.8757000000000001</v>
      </c>
      <c r="AD24">
        <v>3.8744999999999998</v>
      </c>
      <c r="AE24">
        <v>3.8733</v>
      </c>
      <c r="AF24">
        <v>3.8733</v>
      </c>
      <c r="AG24">
        <v>3.8744999999999998</v>
      </c>
      <c r="AH24">
        <v>3.8733</v>
      </c>
      <c r="AI24">
        <v>24.6</v>
      </c>
      <c r="AJ24">
        <v>23.1</v>
      </c>
      <c r="AK24">
        <f t="shared" si="0"/>
        <v>2.3999999999997357</v>
      </c>
      <c r="AL24">
        <f t="shared" si="1"/>
        <v>4.9000000000001265</v>
      </c>
      <c r="AM24">
        <f t="shared" si="2"/>
        <v>2.4000000000001798</v>
      </c>
      <c r="AT24">
        <f t="shared" si="3"/>
        <v>23.244600000000002</v>
      </c>
    </row>
    <row r="25" spans="1:46" x14ac:dyDescent="0.25">
      <c r="A25" t="s">
        <v>31</v>
      </c>
      <c r="B25" t="s">
        <v>0</v>
      </c>
      <c r="C25">
        <v>3.9075000000000002</v>
      </c>
      <c r="D25">
        <v>3.9062000000000001</v>
      </c>
      <c r="E25">
        <v>3.9037999999999999</v>
      </c>
      <c r="F25">
        <v>3.9037999999999999</v>
      </c>
      <c r="G25">
        <v>3.9037999999999999</v>
      </c>
      <c r="H25">
        <v>3.9037999999999999</v>
      </c>
      <c r="I25">
        <v>23.2</v>
      </c>
      <c r="J25">
        <v>22.7</v>
      </c>
      <c r="K25" t="s">
        <v>1</v>
      </c>
      <c r="L25">
        <v>23.431999999999999</v>
      </c>
      <c r="M25">
        <v>2.38</v>
      </c>
      <c r="N25" t="s">
        <v>2</v>
      </c>
      <c r="O25">
        <v>9999</v>
      </c>
      <c r="P25" t="s">
        <v>3</v>
      </c>
      <c r="Q25">
        <v>9999</v>
      </c>
      <c r="R25">
        <v>7.3479999999999999</v>
      </c>
      <c r="S25" t="s">
        <v>4</v>
      </c>
      <c r="T25">
        <v>3.7671000000000001</v>
      </c>
      <c r="U25">
        <v>3.7633999999999999</v>
      </c>
      <c r="V25">
        <v>3.7633999999999999</v>
      </c>
      <c r="W25">
        <v>3.7633999999999999</v>
      </c>
      <c r="X25">
        <v>3.7658999999999998</v>
      </c>
      <c r="Y25">
        <v>3.7585000000000002</v>
      </c>
      <c r="Z25">
        <v>23.6</v>
      </c>
      <c r="AA25">
        <v>22.7</v>
      </c>
      <c r="AB25" t="s">
        <v>5</v>
      </c>
      <c r="AC25">
        <v>3.8782000000000001</v>
      </c>
      <c r="AD25">
        <v>3.8769</v>
      </c>
      <c r="AE25">
        <v>3.8733</v>
      </c>
      <c r="AF25">
        <v>3.8744999999999998</v>
      </c>
      <c r="AG25">
        <v>3.8744999999999998</v>
      </c>
      <c r="AH25">
        <v>3.8744999999999998</v>
      </c>
      <c r="AI25">
        <v>24.7</v>
      </c>
      <c r="AJ25">
        <v>22.9</v>
      </c>
      <c r="AK25">
        <f t="shared" si="0"/>
        <v>3.7000000000002586</v>
      </c>
      <c r="AL25">
        <f t="shared" si="1"/>
        <v>8.599999999999941</v>
      </c>
      <c r="AM25">
        <f t="shared" si="2"/>
        <v>4.9000000000001265</v>
      </c>
      <c r="AT25">
        <f t="shared" si="3"/>
        <v>23.251900000000003</v>
      </c>
    </row>
    <row r="26" spans="1:46" x14ac:dyDescent="0.25">
      <c r="A26" t="s">
        <v>32</v>
      </c>
      <c r="B26" t="s">
        <v>0</v>
      </c>
      <c r="C26">
        <v>3.9049999999999998</v>
      </c>
      <c r="D26">
        <v>3.9062000000000001</v>
      </c>
      <c r="E26">
        <v>3.9049999999999998</v>
      </c>
      <c r="F26">
        <v>3.9026000000000001</v>
      </c>
      <c r="G26">
        <v>3.9037999999999999</v>
      </c>
      <c r="H26">
        <v>3.9049999999999998</v>
      </c>
      <c r="I26">
        <v>23.2</v>
      </c>
      <c r="J26">
        <v>22.7</v>
      </c>
      <c r="K26" t="s">
        <v>1</v>
      </c>
      <c r="L26">
        <v>23.433</v>
      </c>
      <c r="M26">
        <v>2.36</v>
      </c>
      <c r="N26" t="s">
        <v>2</v>
      </c>
      <c r="O26">
        <v>9999</v>
      </c>
      <c r="P26" t="s">
        <v>3</v>
      </c>
      <c r="Q26">
        <v>9999</v>
      </c>
      <c r="R26">
        <v>7.2763999999999998</v>
      </c>
      <c r="S26" t="s">
        <v>4</v>
      </c>
      <c r="T26">
        <v>3.7671000000000001</v>
      </c>
      <c r="U26">
        <v>3.7646000000000002</v>
      </c>
      <c r="V26">
        <v>3.7658999999999998</v>
      </c>
      <c r="W26">
        <v>3.7646000000000002</v>
      </c>
      <c r="X26">
        <v>3.7633999999999999</v>
      </c>
      <c r="Y26">
        <v>3.7671000000000001</v>
      </c>
      <c r="Z26">
        <v>23.9</v>
      </c>
      <c r="AA26">
        <v>22.9</v>
      </c>
      <c r="AB26" t="s">
        <v>5</v>
      </c>
      <c r="AC26">
        <v>3.8757000000000001</v>
      </c>
      <c r="AD26">
        <v>3.8769</v>
      </c>
      <c r="AE26">
        <v>3.8757000000000001</v>
      </c>
      <c r="AF26">
        <v>3.8733</v>
      </c>
      <c r="AG26">
        <v>3.8744999999999998</v>
      </c>
      <c r="AH26">
        <v>3.8769</v>
      </c>
      <c r="AI26">
        <v>25.1</v>
      </c>
      <c r="AJ26">
        <v>23</v>
      </c>
      <c r="AK26">
        <f t="shared" si="0"/>
        <v>3.6000000000000476</v>
      </c>
      <c r="AL26">
        <f t="shared" si="1"/>
        <v>3.7000000000002586</v>
      </c>
      <c r="AM26">
        <f t="shared" si="2"/>
        <v>3.6000000000000476</v>
      </c>
      <c r="AT26">
        <f t="shared" si="3"/>
        <v>23.253</v>
      </c>
    </row>
    <row r="27" spans="1:46" x14ac:dyDescent="0.25">
      <c r="A27" t="s">
        <v>33</v>
      </c>
      <c r="B27" t="s">
        <v>0</v>
      </c>
      <c r="C27">
        <v>3.9037999999999999</v>
      </c>
      <c r="D27">
        <v>3.9062000000000001</v>
      </c>
      <c r="E27">
        <v>3.9049999999999998</v>
      </c>
      <c r="F27">
        <v>3.9049999999999998</v>
      </c>
      <c r="G27">
        <v>3.9026000000000001</v>
      </c>
      <c r="H27">
        <v>3.9049999999999998</v>
      </c>
      <c r="I27">
        <v>23.3</v>
      </c>
      <c r="J27">
        <v>23.1</v>
      </c>
      <c r="K27" t="s">
        <v>1</v>
      </c>
      <c r="L27">
        <v>23.431999999999999</v>
      </c>
      <c r="M27">
        <v>2.35</v>
      </c>
      <c r="N27" t="s">
        <v>2</v>
      </c>
      <c r="O27">
        <v>9999</v>
      </c>
      <c r="P27" t="s">
        <v>3</v>
      </c>
      <c r="Q27">
        <v>9999</v>
      </c>
      <c r="R27">
        <v>7.2152000000000003</v>
      </c>
      <c r="S27" t="s">
        <v>4</v>
      </c>
      <c r="T27">
        <v>3.7633999999999999</v>
      </c>
      <c r="U27">
        <v>3.7671000000000001</v>
      </c>
      <c r="V27">
        <v>3.7683</v>
      </c>
      <c r="W27">
        <v>3.7646000000000002</v>
      </c>
      <c r="X27">
        <v>3.7671000000000001</v>
      </c>
      <c r="Y27">
        <v>3.7683</v>
      </c>
      <c r="Z27">
        <v>23.9</v>
      </c>
      <c r="AA27">
        <v>23.2</v>
      </c>
      <c r="AB27" t="s">
        <v>5</v>
      </c>
      <c r="AC27">
        <v>3.8744999999999998</v>
      </c>
      <c r="AD27">
        <v>3.8769</v>
      </c>
      <c r="AE27">
        <v>3.8769</v>
      </c>
      <c r="AF27">
        <v>3.8757000000000001</v>
      </c>
      <c r="AG27">
        <v>3.8721000000000001</v>
      </c>
      <c r="AH27">
        <v>3.8769</v>
      </c>
      <c r="AI27">
        <v>25</v>
      </c>
      <c r="AJ27">
        <v>23.3</v>
      </c>
      <c r="AK27">
        <f t="shared" si="0"/>
        <v>3.6000000000000476</v>
      </c>
      <c r="AL27">
        <f t="shared" si="1"/>
        <v>4.9000000000001265</v>
      </c>
      <c r="AM27">
        <f t="shared" si="2"/>
        <v>4.7999999999999154</v>
      </c>
      <c r="AT27">
        <f t="shared" si="3"/>
        <v>23.253</v>
      </c>
    </row>
    <row r="28" spans="1:46" x14ac:dyDescent="0.25">
      <c r="A28" t="s">
        <v>34</v>
      </c>
      <c r="B28" t="s">
        <v>0</v>
      </c>
      <c r="C28">
        <v>3.9087000000000001</v>
      </c>
      <c r="D28">
        <v>3.9037999999999999</v>
      </c>
      <c r="E28">
        <v>3.9062000000000001</v>
      </c>
      <c r="F28">
        <v>3.9062000000000001</v>
      </c>
      <c r="G28">
        <v>3.9037999999999999</v>
      </c>
      <c r="H28">
        <v>3.9062000000000001</v>
      </c>
      <c r="I28">
        <v>22.2</v>
      </c>
      <c r="J28">
        <v>22.3</v>
      </c>
      <c r="K28" t="s">
        <v>1</v>
      </c>
      <c r="L28">
        <v>23.44</v>
      </c>
      <c r="M28">
        <v>2.34</v>
      </c>
      <c r="N28" t="s">
        <v>2</v>
      </c>
      <c r="O28">
        <v>5800</v>
      </c>
      <c r="P28" t="s">
        <v>3</v>
      </c>
      <c r="Q28">
        <v>5620</v>
      </c>
      <c r="R28">
        <v>7.2655000000000003</v>
      </c>
      <c r="S28" t="s">
        <v>4</v>
      </c>
      <c r="T28">
        <v>3.7707000000000002</v>
      </c>
      <c r="U28">
        <v>3.7633999999999999</v>
      </c>
      <c r="V28">
        <v>3.7683</v>
      </c>
      <c r="W28">
        <v>3.7633999999999999</v>
      </c>
      <c r="X28">
        <v>3.7646000000000002</v>
      </c>
      <c r="Y28">
        <v>3.7683</v>
      </c>
      <c r="Z28">
        <v>23</v>
      </c>
      <c r="AA28">
        <v>22.4</v>
      </c>
      <c r="AB28" t="s">
        <v>5</v>
      </c>
      <c r="AC28">
        <v>3.8818000000000001</v>
      </c>
      <c r="AD28">
        <v>3.8744999999999998</v>
      </c>
      <c r="AE28">
        <v>3.8782000000000001</v>
      </c>
      <c r="AF28">
        <v>3.8769</v>
      </c>
      <c r="AG28">
        <v>3.8744999999999998</v>
      </c>
      <c r="AH28">
        <v>3.8782000000000001</v>
      </c>
      <c r="AI28">
        <v>24.3</v>
      </c>
      <c r="AJ28">
        <v>22.6</v>
      </c>
      <c r="AK28">
        <f t="shared" si="0"/>
        <v>4.9000000000001265</v>
      </c>
      <c r="AL28">
        <f t="shared" si="1"/>
        <v>7.3000000000003062</v>
      </c>
      <c r="AM28">
        <f t="shared" si="2"/>
        <v>7.3000000000003062</v>
      </c>
      <c r="AT28">
        <f t="shared" si="3"/>
        <v>23.264099999999999</v>
      </c>
    </row>
    <row r="29" spans="1:46" x14ac:dyDescent="0.25">
      <c r="A29" t="s">
        <v>35</v>
      </c>
      <c r="B29" t="s">
        <v>0</v>
      </c>
      <c r="C29">
        <v>3.9049999999999998</v>
      </c>
      <c r="D29">
        <v>3.9026000000000001</v>
      </c>
      <c r="E29">
        <v>3.9037999999999999</v>
      </c>
      <c r="F29">
        <v>3.9075000000000002</v>
      </c>
      <c r="G29">
        <v>3.9075000000000002</v>
      </c>
      <c r="H29">
        <v>3.9037999999999999</v>
      </c>
      <c r="I29">
        <v>23.2</v>
      </c>
      <c r="J29">
        <v>23.1</v>
      </c>
      <c r="K29" t="s">
        <v>1</v>
      </c>
      <c r="L29">
        <v>23.434000000000001</v>
      </c>
      <c r="M29">
        <v>2.41</v>
      </c>
      <c r="N29" t="s">
        <v>2</v>
      </c>
      <c r="O29">
        <v>9999</v>
      </c>
      <c r="P29" t="s">
        <v>3</v>
      </c>
      <c r="Q29">
        <v>9999</v>
      </c>
      <c r="R29">
        <v>7.2049000000000003</v>
      </c>
      <c r="S29" t="s">
        <v>4</v>
      </c>
      <c r="T29">
        <v>3.7671000000000001</v>
      </c>
      <c r="U29">
        <v>3.7658999999999998</v>
      </c>
      <c r="V29">
        <v>3.7658999999999998</v>
      </c>
      <c r="W29">
        <v>3.7671000000000001</v>
      </c>
      <c r="X29">
        <v>3.7707000000000002</v>
      </c>
      <c r="Y29">
        <v>3.7658999999999998</v>
      </c>
      <c r="Z29">
        <v>23.9</v>
      </c>
      <c r="AA29">
        <v>23.2</v>
      </c>
      <c r="AB29" t="s">
        <v>5</v>
      </c>
      <c r="AC29">
        <v>3.8769</v>
      </c>
      <c r="AD29">
        <v>3.8744999999999998</v>
      </c>
      <c r="AE29">
        <v>3.8757000000000001</v>
      </c>
      <c r="AF29">
        <v>3.8805999999999998</v>
      </c>
      <c r="AG29">
        <v>3.8805999999999998</v>
      </c>
      <c r="AH29">
        <v>3.8757000000000001</v>
      </c>
      <c r="AI29">
        <v>25</v>
      </c>
      <c r="AJ29">
        <v>23.3</v>
      </c>
      <c r="AK29">
        <f t="shared" si="0"/>
        <v>4.9000000000001265</v>
      </c>
      <c r="AL29">
        <f t="shared" si="1"/>
        <v>4.8000000000003595</v>
      </c>
      <c r="AM29">
        <f t="shared" si="2"/>
        <v>6.0999999999999943</v>
      </c>
      <c r="AT29">
        <f t="shared" si="3"/>
        <v>23.264000000000003</v>
      </c>
    </row>
    <row r="30" spans="1:46" x14ac:dyDescent="0.25">
      <c r="A30" t="s">
        <v>36</v>
      </c>
      <c r="B30" t="s">
        <v>0</v>
      </c>
      <c r="C30">
        <v>3.9062000000000001</v>
      </c>
      <c r="D30">
        <v>3.9037999999999999</v>
      </c>
      <c r="E30">
        <v>3.9049999999999998</v>
      </c>
      <c r="F30">
        <v>3.9062000000000001</v>
      </c>
      <c r="G30">
        <v>3.9037999999999999</v>
      </c>
      <c r="H30">
        <v>3.9049999999999998</v>
      </c>
      <c r="I30">
        <v>22.8</v>
      </c>
      <c r="J30">
        <v>23</v>
      </c>
      <c r="K30" t="s">
        <v>1</v>
      </c>
      <c r="L30">
        <v>23.434000000000001</v>
      </c>
      <c r="M30">
        <v>2.35</v>
      </c>
      <c r="N30" t="s">
        <v>2</v>
      </c>
      <c r="O30">
        <v>9999</v>
      </c>
      <c r="P30" t="s">
        <v>3</v>
      </c>
      <c r="Q30">
        <v>9999</v>
      </c>
      <c r="R30">
        <v>7.2602000000000002</v>
      </c>
      <c r="S30" t="s">
        <v>4</v>
      </c>
      <c r="T30">
        <v>3.7683</v>
      </c>
      <c r="U30">
        <v>3.7646000000000002</v>
      </c>
      <c r="V30">
        <v>3.7671000000000001</v>
      </c>
      <c r="W30">
        <v>3.7646000000000002</v>
      </c>
      <c r="X30">
        <v>3.7646000000000002</v>
      </c>
      <c r="Y30">
        <v>3.7646000000000002</v>
      </c>
      <c r="Z30">
        <v>23.3</v>
      </c>
      <c r="AA30">
        <v>23.1</v>
      </c>
      <c r="AB30" t="s">
        <v>5</v>
      </c>
      <c r="AC30">
        <v>3.8782000000000001</v>
      </c>
      <c r="AD30">
        <v>3.8744999999999998</v>
      </c>
      <c r="AE30">
        <v>3.8757000000000001</v>
      </c>
      <c r="AF30">
        <v>3.8757000000000001</v>
      </c>
      <c r="AG30">
        <v>3.8744999999999998</v>
      </c>
      <c r="AH30">
        <v>3.8757000000000001</v>
      </c>
      <c r="AI30">
        <v>24.4</v>
      </c>
      <c r="AJ30">
        <v>23.2</v>
      </c>
      <c r="AK30">
        <f t="shared" si="0"/>
        <v>2.4000000000001798</v>
      </c>
      <c r="AL30">
        <f t="shared" si="1"/>
        <v>3.6999999999998145</v>
      </c>
      <c r="AM30">
        <f t="shared" si="2"/>
        <v>3.7000000000002586</v>
      </c>
      <c r="AT30">
        <f t="shared" si="3"/>
        <v>23.254300000000001</v>
      </c>
    </row>
    <row r="31" spans="1:46" x14ac:dyDescent="0.25">
      <c r="A31" t="s">
        <v>37</v>
      </c>
      <c r="B31" t="s">
        <v>0</v>
      </c>
      <c r="C31">
        <v>3.9049999999999998</v>
      </c>
      <c r="D31">
        <v>3.9049999999999998</v>
      </c>
      <c r="E31">
        <v>3.9062000000000001</v>
      </c>
      <c r="F31">
        <v>3.9037999999999999</v>
      </c>
      <c r="G31">
        <v>3.9037999999999999</v>
      </c>
      <c r="H31">
        <v>3.9026000000000001</v>
      </c>
      <c r="I31">
        <v>22.9</v>
      </c>
      <c r="J31">
        <v>22.9</v>
      </c>
      <c r="K31" t="s">
        <v>1</v>
      </c>
      <c r="L31">
        <v>23.431999999999999</v>
      </c>
      <c r="M31">
        <v>2.36</v>
      </c>
      <c r="N31" t="s">
        <v>2</v>
      </c>
      <c r="O31">
        <v>9999</v>
      </c>
      <c r="P31" t="s">
        <v>3</v>
      </c>
      <c r="Q31">
        <v>9999</v>
      </c>
      <c r="R31">
        <v>7.2317</v>
      </c>
      <c r="S31" t="s">
        <v>4</v>
      </c>
      <c r="T31">
        <v>3.7633999999999999</v>
      </c>
      <c r="U31">
        <v>3.7646000000000002</v>
      </c>
      <c r="V31">
        <v>3.7671000000000001</v>
      </c>
      <c r="W31">
        <v>3.7671000000000001</v>
      </c>
      <c r="X31">
        <v>3.7683</v>
      </c>
      <c r="Y31">
        <v>3.7658999999999998</v>
      </c>
      <c r="Z31">
        <v>23.4</v>
      </c>
      <c r="AA31">
        <v>23</v>
      </c>
      <c r="AB31" t="s">
        <v>5</v>
      </c>
      <c r="AC31">
        <v>3.8769</v>
      </c>
      <c r="AD31">
        <v>3.8757000000000001</v>
      </c>
      <c r="AE31">
        <v>3.8757000000000001</v>
      </c>
      <c r="AF31">
        <v>3.8769</v>
      </c>
      <c r="AG31">
        <v>3.8757000000000001</v>
      </c>
      <c r="AH31">
        <v>3.8744999999999998</v>
      </c>
      <c r="AI31">
        <v>24.5</v>
      </c>
      <c r="AJ31">
        <v>23.1</v>
      </c>
      <c r="AK31">
        <f t="shared" si="0"/>
        <v>3.6000000000000476</v>
      </c>
      <c r="AL31">
        <f t="shared" si="1"/>
        <v>4.9000000000001265</v>
      </c>
      <c r="AM31">
        <f t="shared" si="2"/>
        <v>2.4000000000001798</v>
      </c>
      <c r="AT31">
        <f t="shared" si="3"/>
        <v>23.255399999999998</v>
      </c>
    </row>
    <row r="32" spans="1:46" x14ac:dyDescent="0.25">
      <c r="A32" t="s">
        <v>38</v>
      </c>
      <c r="B32" t="s">
        <v>0</v>
      </c>
      <c r="C32">
        <v>3.9062000000000001</v>
      </c>
      <c r="D32">
        <v>3.9062000000000001</v>
      </c>
      <c r="E32">
        <v>3.9037999999999999</v>
      </c>
      <c r="F32">
        <v>3.9062000000000001</v>
      </c>
      <c r="G32">
        <v>3.9026000000000001</v>
      </c>
      <c r="H32">
        <v>3.9037999999999999</v>
      </c>
      <c r="I32">
        <v>22.9</v>
      </c>
      <c r="J32">
        <v>22.5</v>
      </c>
      <c r="K32" t="s">
        <v>1</v>
      </c>
      <c r="L32">
        <v>23.431999999999999</v>
      </c>
      <c r="M32">
        <v>2.38</v>
      </c>
      <c r="N32" t="s">
        <v>2</v>
      </c>
      <c r="O32">
        <v>9999</v>
      </c>
      <c r="P32" t="s">
        <v>3</v>
      </c>
      <c r="Q32">
        <v>9999</v>
      </c>
      <c r="R32">
        <v>7.4179000000000004</v>
      </c>
      <c r="S32" t="s">
        <v>4</v>
      </c>
      <c r="T32">
        <v>3.7610000000000001</v>
      </c>
      <c r="U32">
        <v>3.7633999999999999</v>
      </c>
      <c r="V32">
        <v>3.7633999999999999</v>
      </c>
      <c r="W32">
        <v>3.7610000000000001</v>
      </c>
      <c r="X32">
        <v>3.7633999999999999</v>
      </c>
      <c r="Y32">
        <v>3.7622</v>
      </c>
      <c r="Z32">
        <v>23.4</v>
      </c>
      <c r="AA32">
        <v>22.6</v>
      </c>
      <c r="AB32" t="s">
        <v>5</v>
      </c>
      <c r="AC32">
        <v>3.8757000000000001</v>
      </c>
      <c r="AD32">
        <v>3.8769</v>
      </c>
      <c r="AE32">
        <v>3.8744999999999998</v>
      </c>
      <c r="AF32">
        <v>3.8769</v>
      </c>
      <c r="AG32">
        <v>3.8733</v>
      </c>
      <c r="AH32">
        <v>3.8733</v>
      </c>
      <c r="AI32">
        <v>24.4</v>
      </c>
      <c r="AJ32">
        <v>22.7</v>
      </c>
      <c r="AK32">
        <f t="shared" si="0"/>
        <v>3.6000000000000476</v>
      </c>
      <c r="AL32">
        <f t="shared" si="1"/>
        <v>2.3999999999997357</v>
      </c>
      <c r="AM32">
        <f t="shared" si="2"/>
        <v>3.6000000000000476</v>
      </c>
      <c r="AT32">
        <f t="shared" si="3"/>
        <v>23.250600000000002</v>
      </c>
    </row>
    <row r="33" spans="1:46" x14ac:dyDescent="0.25">
      <c r="A33" t="s">
        <v>39</v>
      </c>
      <c r="B33" t="s">
        <v>0</v>
      </c>
      <c r="C33">
        <v>3.9062000000000001</v>
      </c>
      <c r="D33">
        <v>3.9049999999999998</v>
      </c>
      <c r="E33">
        <v>3.9049999999999998</v>
      </c>
      <c r="F33">
        <v>3.9049999999999998</v>
      </c>
      <c r="G33">
        <v>3.9049999999999998</v>
      </c>
      <c r="H33">
        <v>3.9026000000000001</v>
      </c>
      <c r="I33">
        <v>22.6</v>
      </c>
      <c r="J33">
        <v>22.6</v>
      </c>
      <c r="K33" t="s">
        <v>1</v>
      </c>
      <c r="L33">
        <v>23.433</v>
      </c>
      <c r="M33">
        <v>2.38</v>
      </c>
      <c r="N33" t="s">
        <v>2</v>
      </c>
      <c r="O33">
        <v>4350</v>
      </c>
      <c r="P33" t="s">
        <v>3</v>
      </c>
      <c r="Q33">
        <v>4400</v>
      </c>
      <c r="R33">
        <v>7.3567999999999998</v>
      </c>
      <c r="S33" t="s">
        <v>4</v>
      </c>
      <c r="T33">
        <v>3.7622</v>
      </c>
      <c r="U33">
        <v>3.7658999999999998</v>
      </c>
      <c r="V33">
        <v>3.7633999999999999</v>
      </c>
      <c r="W33">
        <v>3.7622</v>
      </c>
      <c r="X33">
        <v>3.7658999999999998</v>
      </c>
      <c r="Y33">
        <v>3.7622</v>
      </c>
      <c r="Z33">
        <v>23.4</v>
      </c>
      <c r="AA33">
        <v>22.7</v>
      </c>
      <c r="AB33" t="s">
        <v>5</v>
      </c>
      <c r="AC33">
        <v>3.8769</v>
      </c>
      <c r="AD33">
        <v>3.8757000000000001</v>
      </c>
      <c r="AE33">
        <v>3.8757000000000001</v>
      </c>
      <c r="AF33">
        <v>3.8744999999999998</v>
      </c>
      <c r="AG33">
        <v>3.8757000000000001</v>
      </c>
      <c r="AH33">
        <v>3.8733</v>
      </c>
      <c r="AI33">
        <v>24.8</v>
      </c>
      <c r="AJ33">
        <v>22.8</v>
      </c>
      <c r="AK33">
        <f t="shared" si="0"/>
        <v>3.6000000000000476</v>
      </c>
      <c r="AL33">
        <f t="shared" si="1"/>
        <v>3.6999999999998145</v>
      </c>
      <c r="AM33">
        <f t="shared" si="2"/>
        <v>3.6000000000000476</v>
      </c>
      <c r="AT33">
        <f t="shared" si="3"/>
        <v>23.251799999999999</v>
      </c>
    </row>
    <row r="34" spans="1:46" x14ac:dyDescent="0.25">
      <c r="A34" t="s">
        <v>40</v>
      </c>
      <c r="B34" t="s">
        <v>0</v>
      </c>
      <c r="C34">
        <v>3.9062000000000001</v>
      </c>
      <c r="D34">
        <v>3.9037999999999999</v>
      </c>
      <c r="E34">
        <v>3.9037999999999999</v>
      </c>
      <c r="F34">
        <v>3.9049999999999998</v>
      </c>
      <c r="G34">
        <v>3.9037999999999999</v>
      </c>
      <c r="H34">
        <v>3.9037999999999999</v>
      </c>
      <c r="I34">
        <v>23.2</v>
      </c>
      <c r="J34">
        <v>23</v>
      </c>
      <c r="K34" t="s">
        <v>1</v>
      </c>
      <c r="L34">
        <v>23.43</v>
      </c>
      <c r="M34">
        <v>2.38</v>
      </c>
      <c r="N34" t="s">
        <v>2</v>
      </c>
      <c r="O34">
        <v>9999</v>
      </c>
      <c r="P34" t="s">
        <v>3</v>
      </c>
      <c r="Q34">
        <v>9999</v>
      </c>
      <c r="R34">
        <v>7.3625999999999996</v>
      </c>
      <c r="S34" t="s">
        <v>4</v>
      </c>
      <c r="T34">
        <v>3.7610000000000001</v>
      </c>
      <c r="U34">
        <v>3.7622</v>
      </c>
      <c r="V34">
        <v>3.7622</v>
      </c>
      <c r="W34">
        <v>3.7658999999999998</v>
      </c>
      <c r="X34">
        <v>3.7633999999999999</v>
      </c>
      <c r="Y34">
        <v>3.7633999999999999</v>
      </c>
      <c r="Z34">
        <v>23.9</v>
      </c>
      <c r="AA34">
        <v>23.1</v>
      </c>
      <c r="AB34" t="s">
        <v>5</v>
      </c>
      <c r="AC34">
        <v>3.8757000000000001</v>
      </c>
      <c r="AD34">
        <v>3.8744999999999998</v>
      </c>
      <c r="AE34">
        <v>3.8744999999999998</v>
      </c>
      <c r="AF34">
        <v>3.8757000000000001</v>
      </c>
      <c r="AG34">
        <v>3.8744999999999998</v>
      </c>
      <c r="AH34">
        <v>3.8733</v>
      </c>
      <c r="AI34">
        <v>25.2</v>
      </c>
      <c r="AJ34">
        <v>23.2</v>
      </c>
      <c r="AK34">
        <f t="shared" si="0"/>
        <v>2.4000000000001798</v>
      </c>
      <c r="AL34">
        <f t="shared" si="1"/>
        <v>4.8999999999996824</v>
      </c>
      <c r="AM34">
        <f t="shared" si="2"/>
        <v>2.4000000000001798</v>
      </c>
      <c r="AT34">
        <f t="shared" si="3"/>
        <v>23.248200000000001</v>
      </c>
    </row>
    <row r="35" spans="1:46" x14ac:dyDescent="0.25">
      <c r="A35" t="s">
        <v>41</v>
      </c>
      <c r="B35" t="s">
        <v>0</v>
      </c>
      <c r="C35">
        <v>3.9037999999999999</v>
      </c>
      <c r="D35">
        <v>3.9062000000000001</v>
      </c>
      <c r="E35">
        <v>3.9049999999999998</v>
      </c>
      <c r="F35">
        <v>3.9049999999999998</v>
      </c>
      <c r="G35">
        <v>3.9026000000000001</v>
      </c>
      <c r="H35">
        <v>3.9026000000000001</v>
      </c>
      <c r="I35">
        <v>23.1</v>
      </c>
      <c r="J35">
        <v>22.9</v>
      </c>
      <c r="K35" t="s">
        <v>1</v>
      </c>
      <c r="L35">
        <v>23.428999999999998</v>
      </c>
      <c r="M35">
        <v>2.31</v>
      </c>
      <c r="N35" t="s">
        <v>2</v>
      </c>
      <c r="O35">
        <v>9999</v>
      </c>
      <c r="P35" t="s">
        <v>3</v>
      </c>
      <c r="Q35">
        <v>9999</v>
      </c>
      <c r="R35">
        <v>7.0644</v>
      </c>
      <c r="S35" t="s">
        <v>4</v>
      </c>
      <c r="T35">
        <v>3.7671000000000001</v>
      </c>
      <c r="U35">
        <v>3.7707000000000002</v>
      </c>
      <c r="V35">
        <v>3.7694999999999999</v>
      </c>
      <c r="W35">
        <v>3.7707000000000002</v>
      </c>
      <c r="X35">
        <v>3.7683</v>
      </c>
      <c r="Y35">
        <v>3.7658999999999998</v>
      </c>
      <c r="Z35">
        <v>23.5</v>
      </c>
      <c r="AA35">
        <v>22.9</v>
      </c>
      <c r="AB35" t="s">
        <v>5</v>
      </c>
      <c r="AC35">
        <v>3.8769</v>
      </c>
      <c r="AD35">
        <v>3.8794</v>
      </c>
      <c r="AE35">
        <v>3.8782000000000001</v>
      </c>
      <c r="AF35">
        <v>3.8805999999999998</v>
      </c>
      <c r="AG35">
        <v>3.8757000000000001</v>
      </c>
      <c r="AH35">
        <v>3.8757000000000001</v>
      </c>
      <c r="AI35">
        <v>24.4</v>
      </c>
      <c r="AJ35">
        <v>23</v>
      </c>
      <c r="AK35">
        <f t="shared" si="0"/>
        <v>3.6000000000000476</v>
      </c>
      <c r="AL35">
        <f t="shared" si="1"/>
        <v>4.8000000000003595</v>
      </c>
      <c r="AM35">
        <f t="shared" si="2"/>
        <v>4.8999999999996824</v>
      </c>
      <c r="AT35">
        <f t="shared" si="3"/>
        <v>23.266500000000001</v>
      </c>
    </row>
    <row r="36" spans="1:46" x14ac:dyDescent="0.25">
      <c r="A36" t="s">
        <v>42</v>
      </c>
      <c r="B36" t="s">
        <v>0</v>
      </c>
      <c r="C36">
        <v>3.9062000000000001</v>
      </c>
      <c r="D36">
        <v>3.9049999999999998</v>
      </c>
      <c r="E36">
        <v>3.9037999999999999</v>
      </c>
      <c r="F36">
        <v>3.9049999999999998</v>
      </c>
      <c r="G36">
        <v>3.9075000000000002</v>
      </c>
      <c r="H36">
        <v>3.9049999999999998</v>
      </c>
      <c r="I36">
        <v>23.1</v>
      </c>
      <c r="J36">
        <v>22.8</v>
      </c>
      <c r="K36" t="s">
        <v>1</v>
      </c>
      <c r="L36">
        <v>23.436</v>
      </c>
      <c r="M36">
        <v>2.39</v>
      </c>
      <c r="N36" t="s">
        <v>2</v>
      </c>
      <c r="O36">
        <v>9999</v>
      </c>
      <c r="P36" t="s">
        <v>3</v>
      </c>
      <c r="Q36">
        <v>9999</v>
      </c>
      <c r="R36">
        <v>7.2954999999999997</v>
      </c>
      <c r="S36" t="s">
        <v>4</v>
      </c>
      <c r="T36">
        <v>3.7633999999999999</v>
      </c>
      <c r="U36">
        <v>3.7646000000000002</v>
      </c>
      <c r="V36">
        <v>3.7658999999999998</v>
      </c>
      <c r="W36">
        <v>3.7658999999999998</v>
      </c>
      <c r="X36">
        <v>3.7671000000000001</v>
      </c>
      <c r="Y36">
        <v>3.7658999999999998</v>
      </c>
      <c r="Z36">
        <v>23.7</v>
      </c>
      <c r="AA36">
        <v>22.8</v>
      </c>
      <c r="AB36" t="s">
        <v>5</v>
      </c>
      <c r="AC36">
        <v>3.8769</v>
      </c>
      <c r="AD36">
        <v>3.8757000000000001</v>
      </c>
      <c r="AE36">
        <v>3.8744999999999998</v>
      </c>
      <c r="AF36">
        <v>3.8744999999999998</v>
      </c>
      <c r="AG36">
        <v>3.8769</v>
      </c>
      <c r="AH36">
        <v>3.8757000000000001</v>
      </c>
      <c r="AI36">
        <v>25</v>
      </c>
      <c r="AJ36">
        <v>22.9</v>
      </c>
      <c r="AK36">
        <f t="shared" si="0"/>
        <v>3.7000000000002586</v>
      </c>
      <c r="AL36">
        <f t="shared" si="1"/>
        <v>3.7000000000002586</v>
      </c>
      <c r="AM36">
        <f t="shared" si="2"/>
        <v>2.4000000000001798</v>
      </c>
      <c r="AT36">
        <f t="shared" si="3"/>
        <v>23.254199999999997</v>
      </c>
    </row>
    <row r="37" spans="1:46" x14ac:dyDescent="0.25">
      <c r="A37" t="s">
        <v>43</v>
      </c>
      <c r="B37" t="s">
        <v>0</v>
      </c>
      <c r="C37">
        <v>3.9049999999999998</v>
      </c>
      <c r="D37">
        <v>3.9037999999999999</v>
      </c>
      <c r="E37">
        <v>3.9062000000000001</v>
      </c>
      <c r="F37">
        <v>3.9026000000000001</v>
      </c>
      <c r="G37">
        <v>3.9049999999999998</v>
      </c>
      <c r="H37">
        <v>3.9049999999999998</v>
      </c>
      <c r="I37">
        <v>23.1</v>
      </c>
      <c r="J37">
        <v>23</v>
      </c>
      <c r="K37" t="s">
        <v>1</v>
      </c>
      <c r="L37">
        <v>23.433</v>
      </c>
      <c r="M37">
        <v>2.38</v>
      </c>
      <c r="N37" t="s">
        <v>2</v>
      </c>
      <c r="O37">
        <v>9999</v>
      </c>
      <c r="P37" t="s">
        <v>3</v>
      </c>
      <c r="Q37">
        <v>9999</v>
      </c>
      <c r="R37">
        <v>7.335</v>
      </c>
      <c r="S37" t="s">
        <v>4</v>
      </c>
      <c r="T37">
        <v>3.7633999999999999</v>
      </c>
      <c r="U37">
        <v>3.7671000000000001</v>
      </c>
      <c r="V37">
        <v>3.7646000000000002</v>
      </c>
      <c r="W37">
        <v>3.7633999999999999</v>
      </c>
      <c r="X37">
        <v>3.7622</v>
      </c>
      <c r="Y37">
        <v>3.7646000000000002</v>
      </c>
      <c r="Z37">
        <v>23.7</v>
      </c>
      <c r="AA37">
        <v>23.1</v>
      </c>
      <c r="AB37" t="s">
        <v>5</v>
      </c>
      <c r="AC37">
        <v>3.8744999999999998</v>
      </c>
      <c r="AD37">
        <v>3.8757000000000001</v>
      </c>
      <c r="AE37">
        <v>3.8769</v>
      </c>
      <c r="AF37">
        <v>3.8733</v>
      </c>
      <c r="AG37">
        <v>3.8757000000000001</v>
      </c>
      <c r="AH37">
        <v>3.8769</v>
      </c>
      <c r="AI37">
        <v>24.8</v>
      </c>
      <c r="AJ37">
        <v>23.2</v>
      </c>
      <c r="AK37">
        <f t="shared" si="0"/>
        <v>3.6000000000000476</v>
      </c>
      <c r="AL37">
        <f t="shared" si="1"/>
        <v>4.9000000000001265</v>
      </c>
      <c r="AM37">
        <f t="shared" si="2"/>
        <v>3.6000000000000476</v>
      </c>
      <c r="AT37">
        <f t="shared" si="3"/>
        <v>23.253</v>
      </c>
    </row>
    <row r="38" spans="1:46" x14ac:dyDescent="0.25">
      <c r="A38" t="s">
        <v>44</v>
      </c>
      <c r="B38" t="s">
        <v>0</v>
      </c>
      <c r="C38">
        <v>3.9062000000000001</v>
      </c>
      <c r="D38">
        <v>3.9062000000000001</v>
      </c>
      <c r="E38">
        <v>3.9049999999999998</v>
      </c>
      <c r="F38">
        <v>3.9062000000000001</v>
      </c>
      <c r="G38">
        <v>3.9049999999999998</v>
      </c>
      <c r="H38">
        <v>3.9037999999999999</v>
      </c>
      <c r="I38">
        <v>23</v>
      </c>
      <c r="J38">
        <v>22.8</v>
      </c>
      <c r="K38" t="s">
        <v>1</v>
      </c>
      <c r="L38">
        <v>23.437999999999999</v>
      </c>
      <c r="M38">
        <v>2.34</v>
      </c>
      <c r="N38" t="s">
        <v>2</v>
      </c>
      <c r="O38">
        <v>9999</v>
      </c>
      <c r="P38" t="s">
        <v>3</v>
      </c>
      <c r="Q38">
        <v>9999</v>
      </c>
      <c r="R38">
        <v>7.2385999999999999</v>
      </c>
      <c r="S38" t="s">
        <v>4</v>
      </c>
      <c r="T38">
        <v>3.7671000000000001</v>
      </c>
      <c r="U38">
        <v>3.7694999999999999</v>
      </c>
      <c r="V38">
        <v>3.7671000000000001</v>
      </c>
      <c r="W38">
        <v>3.7683</v>
      </c>
      <c r="X38">
        <v>3.7671000000000001</v>
      </c>
      <c r="Y38">
        <v>3.7633999999999999</v>
      </c>
      <c r="Z38">
        <v>23.6</v>
      </c>
      <c r="AA38">
        <v>23</v>
      </c>
      <c r="AB38" t="s">
        <v>5</v>
      </c>
      <c r="AC38">
        <v>3.8782000000000001</v>
      </c>
      <c r="AD38">
        <v>3.8769</v>
      </c>
      <c r="AE38">
        <v>3.8757000000000001</v>
      </c>
      <c r="AF38">
        <v>3.8782000000000001</v>
      </c>
      <c r="AG38">
        <v>3.8757000000000001</v>
      </c>
      <c r="AH38">
        <v>3.8744999999999998</v>
      </c>
      <c r="AI38">
        <v>24.7</v>
      </c>
      <c r="AJ38">
        <v>23.1</v>
      </c>
      <c r="AK38">
        <f t="shared" si="0"/>
        <v>2.4000000000001798</v>
      </c>
      <c r="AL38">
        <f t="shared" si="1"/>
        <v>6.0999999999999943</v>
      </c>
      <c r="AM38">
        <f t="shared" si="2"/>
        <v>3.7000000000002586</v>
      </c>
      <c r="AT38">
        <f t="shared" si="3"/>
        <v>23.259200000000003</v>
      </c>
    </row>
    <row r="39" spans="1:46" x14ac:dyDescent="0.25">
      <c r="A39" t="s">
        <v>45</v>
      </c>
      <c r="B39" t="s">
        <v>0</v>
      </c>
      <c r="C39">
        <v>3.9087000000000001</v>
      </c>
      <c r="D39">
        <v>3.9037999999999999</v>
      </c>
      <c r="E39">
        <v>3.9062000000000001</v>
      </c>
      <c r="F39">
        <v>3.9075000000000002</v>
      </c>
      <c r="G39">
        <v>3.9062000000000001</v>
      </c>
      <c r="H39">
        <v>3.9062000000000001</v>
      </c>
      <c r="I39">
        <v>23</v>
      </c>
      <c r="J39">
        <v>22.7</v>
      </c>
      <c r="K39" t="s">
        <v>1</v>
      </c>
      <c r="L39">
        <v>23.443000000000001</v>
      </c>
      <c r="M39">
        <v>2.39</v>
      </c>
      <c r="N39" t="s">
        <v>2</v>
      </c>
      <c r="O39">
        <v>9999</v>
      </c>
      <c r="P39" t="s">
        <v>3</v>
      </c>
      <c r="Q39">
        <v>9999</v>
      </c>
      <c r="R39">
        <v>7.3540000000000001</v>
      </c>
      <c r="S39" t="s">
        <v>4</v>
      </c>
      <c r="T39">
        <v>3.7658999999999998</v>
      </c>
      <c r="U39">
        <v>3.7646000000000002</v>
      </c>
      <c r="V39">
        <v>3.7658999999999998</v>
      </c>
      <c r="W39">
        <v>3.7646000000000002</v>
      </c>
      <c r="X39">
        <v>3.7646000000000002</v>
      </c>
      <c r="Y39">
        <v>3.7658999999999998</v>
      </c>
      <c r="Z39">
        <v>23.8</v>
      </c>
      <c r="AA39">
        <v>22.9</v>
      </c>
      <c r="AB39" t="s">
        <v>5</v>
      </c>
      <c r="AC39">
        <v>3.8794</v>
      </c>
      <c r="AD39">
        <v>3.8744999999999998</v>
      </c>
      <c r="AE39">
        <v>3.8769</v>
      </c>
      <c r="AF39">
        <v>3.8782000000000001</v>
      </c>
      <c r="AG39">
        <v>3.8769</v>
      </c>
      <c r="AH39">
        <v>3.8769</v>
      </c>
      <c r="AI39">
        <v>25.2</v>
      </c>
      <c r="AJ39">
        <v>23</v>
      </c>
      <c r="AK39">
        <f t="shared" si="0"/>
        <v>4.9000000000001265</v>
      </c>
      <c r="AL39">
        <f t="shared" si="1"/>
        <v>1.2999999999996348</v>
      </c>
      <c r="AM39">
        <f t="shared" si="2"/>
        <v>4.9000000000001265</v>
      </c>
      <c r="AT39">
        <f t="shared" si="3"/>
        <v>23.262799999999999</v>
      </c>
    </row>
    <row r="40" spans="1:46" x14ac:dyDescent="0.25">
      <c r="A40" t="s">
        <v>46</v>
      </c>
      <c r="B40" t="s">
        <v>0</v>
      </c>
      <c r="C40">
        <v>3.9049999999999998</v>
      </c>
      <c r="D40">
        <v>3.9062000000000001</v>
      </c>
      <c r="E40">
        <v>3.9049999999999998</v>
      </c>
      <c r="F40">
        <v>3.9037999999999999</v>
      </c>
      <c r="G40">
        <v>3.9037999999999999</v>
      </c>
      <c r="H40">
        <v>3.9037999999999999</v>
      </c>
      <c r="I40">
        <v>23</v>
      </c>
      <c r="J40">
        <v>23.2</v>
      </c>
      <c r="K40" t="s">
        <v>1</v>
      </c>
      <c r="L40">
        <v>23.433</v>
      </c>
      <c r="M40">
        <v>2.36</v>
      </c>
      <c r="N40" t="s">
        <v>2</v>
      </c>
      <c r="O40">
        <v>9999</v>
      </c>
      <c r="P40" t="s">
        <v>3</v>
      </c>
      <c r="Q40">
        <v>9999</v>
      </c>
      <c r="R40">
        <v>7.2972000000000001</v>
      </c>
      <c r="S40" t="s">
        <v>4</v>
      </c>
      <c r="T40">
        <v>3.7658999999999998</v>
      </c>
      <c r="U40">
        <v>3.7633999999999999</v>
      </c>
      <c r="V40">
        <v>3.7646000000000002</v>
      </c>
      <c r="W40">
        <v>3.7633999999999999</v>
      </c>
      <c r="X40">
        <v>3.7646000000000002</v>
      </c>
      <c r="Y40">
        <v>3.7683</v>
      </c>
      <c r="Z40">
        <v>23.7</v>
      </c>
      <c r="AA40">
        <v>23.3</v>
      </c>
      <c r="AB40" t="s">
        <v>5</v>
      </c>
      <c r="AC40">
        <v>3.8757000000000001</v>
      </c>
      <c r="AD40">
        <v>3.8757000000000001</v>
      </c>
      <c r="AE40">
        <v>3.8757000000000001</v>
      </c>
      <c r="AF40">
        <v>3.8744999999999998</v>
      </c>
      <c r="AG40">
        <v>3.8744999999999998</v>
      </c>
      <c r="AH40">
        <v>3.8769</v>
      </c>
      <c r="AI40">
        <v>24.7</v>
      </c>
      <c r="AJ40">
        <v>23.4</v>
      </c>
      <c r="AK40">
        <f t="shared" si="0"/>
        <v>2.4000000000001798</v>
      </c>
      <c r="AL40">
        <f t="shared" si="1"/>
        <v>4.9000000000001265</v>
      </c>
      <c r="AM40">
        <f t="shared" si="2"/>
        <v>2.4000000000001798</v>
      </c>
      <c r="AT40">
        <f t="shared" si="3"/>
        <v>23.253</v>
      </c>
    </row>
    <row r="41" spans="1:46" x14ac:dyDescent="0.25">
      <c r="A41" t="s">
        <v>47</v>
      </c>
      <c r="B41" t="s">
        <v>0</v>
      </c>
      <c r="C41">
        <v>3.8976999999999999</v>
      </c>
      <c r="D41">
        <v>3.9037999999999999</v>
      </c>
      <c r="E41">
        <v>3.9026000000000001</v>
      </c>
      <c r="F41">
        <v>3.9026000000000001</v>
      </c>
      <c r="G41">
        <v>3.9049999999999998</v>
      </c>
      <c r="H41">
        <v>3.9049999999999998</v>
      </c>
      <c r="I41">
        <v>22.9</v>
      </c>
      <c r="J41">
        <v>22.8</v>
      </c>
      <c r="K41" t="s">
        <v>1</v>
      </c>
      <c r="L41">
        <v>23.422000000000001</v>
      </c>
      <c r="M41">
        <v>2.35</v>
      </c>
      <c r="N41" t="s">
        <v>2</v>
      </c>
      <c r="O41">
        <v>9999</v>
      </c>
      <c r="P41" t="s">
        <v>3</v>
      </c>
      <c r="Q41">
        <v>9999</v>
      </c>
      <c r="R41">
        <v>7.1626000000000003</v>
      </c>
      <c r="S41" t="s">
        <v>4</v>
      </c>
      <c r="T41">
        <v>3.7597999999999998</v>
      </c>
      <c r="U41">
        <v>3.7633999999999999</v>
      </c>
      <c r="V41">
        <v>3.7683</v>
      </c>
      <c r="W41">
        <v>3.7622</v>
      </c>
      <c r="X41">
        <v>3.7683</v>
      </c>
      <c r="Y41">
        <v>3.7707000000000002</v>
      </c>
      <c r="Z41">
        <v>23.3</v>
      </c>
      <c r="AA41">
        <v>22.9</v>
      </c>
      <c r="AB41" t="s">
        <v>5</v>
      </c>
      <c r="AC41">
        <v>3.8696000000000002</v>
      </c>
      <c r="AD41">
        <v>3.8744999999999998</v>
      </c>
      <c r="AE41">
        <v>3.8757000000000001</v>
      </c>
      <c r="AF41">
        <v>3.8733</v>
      </c>
      <c r="AG41">
        <v>3.8769</v>
      </c>
      <c r="AH41">
        <v>3.8769</v>
      </c>
      <c r="AI41">
        <v>24.3</v>
      </c>
      <c r="AJ41">
        <v>23</v>
      </c>
      <c r="AK41">
        <f t="shared" si="0"/>
        <v>7.2999999999998622</v>
      </c>
      <c r="AL41">
        <f t="shared" si="1"/>
        <v>10.900000000000354</v>
      </c>
      <c r="AM41">
        <f t="shared" si="2"/>
        <v>7.2999999999998622</v>
      </c>
      <c r="AT41">
        <f t="shared" si="3"/>
        <v>23.2469</v>
      </c>
    </row>
    <row r="42" spans="1:46" x14ac:dyDescent="0.25">
      <c r="A42" t="s">
        <v>48</v>
      </c>
      <c r="B42" t="s">
        <v>0</v>
      </c>
      <c r="C42">
        <v>3.9037999999999999</v>
      </c>
      <c r="D42">
        <v>3.9037999999999999</v>
      </c>
      <c r="E42">
        <v>3.9049999999999998</v>
      </c>
      <c r="F42">
        <v>3.9026000000000001</v>
      </c>
      <c r="G42">
        <v>3.9026000000000001</v>
      </c>
      <c r="H42">
        <v>3.9014000000000002</v>
      </c>
      <c r="I42">
        <v>23.2</v>
      </c>
      <c r="J42">
        <v>22.7</v>
      </c>
      <c r="K42" t="s">
        <v>1</v>
      </c>
      <c r="L42">
        <v>23.425000000000001</v>
      </c>
      <c r="M42">
        <v>2.34</v>
      </c>
      <c r="N42" t="s">
        <v>2</v>
      </c>
      <c r="O42">
        <v>9999</v>
      </c>
      <c r="P42" t="s">
        <v>3</v>
      </c>
      <c r="Q42">
        <v>9999</v>
      </c>
      <c r="R42">
        <v>7.1989999999999998</v>
      </c>
      <c r="S42" t="s">
        <v>4</v>
      </c>
      <c r="T42">
        <v>3.7646000000000002</v>
      </c>
      <c r="U42">
        <v>3.7622</v>
      </c>
      <c r="V42">
        <v>3.7671000000000001</v>
      </c>
      <c r="W42">
        <v>3.7633999999999999</v>
      </c>
      <c r="X42">
        <v>3.7671000000000001</v>
      </c>
      <c r="Y42">
        <v>3.7671000000000001</v>
      </c>
      <c r="Z42">
        <v>23.8</v>
      </c>
      <c r="AA42">
        <v>22.9</v>
      </c>
      <c r="AB42" t="s">
        <v>5</v>
      </c>
      <c r="AC42">
        <v>3.8744999999999998</v>
      </c>
      <c r="AD42">
        <v>3.8744999999999998</v>
      </c>
      <c r="AE42">
        <v>3.8769</v>
      </c>
      <c r="AF42">
        <v>3.8733</v>
      </c>
      <c r="AG42">
        <v>3.8744999999999998</v>
      </c>
      <c r="AH42">
        <v>3.8733</v>
      </c>
      <c r="AI42">
        <v>24.8</v>
      </c>
      <c r="AJ42">
        <v>23</v>
      </c>
      <c r="AK42">
        <f t="shared" si="0"/>
        <v>3.5999999999996035</v>
      </c>
      <c r="AL42">
        <f t="shared" si="1"/>
        <v>4.9000000000001265</v>
      </c>
      <c r="AM42">
        <f t="shared" si="2"/>
        <v>3.6000000000000476</v>
      </c>
      <c r="AT42">
        <f t="shared" si="3"/>
        <v>23.247</v>
      </c>
    </row>
    <row r="43" spans="1:46" x14ac:dyDescent="0.25">
      <c r="A43" t="s">
        <v>49</v>
      </c>
      <c r="B43" t="s">
        <v>0</v>
      </c>
      <c r="C43">
        <v>3.9049999999999998</v>
      </c>
      <c r="D43">
        <v>3.9026000000000001</v>
      </c>
      <c r="E43">
        <v>3.9037999999999999</v>
      </c>
      <c r="F43">
        <v>3.9026000000000001</v>
      </c>
      <c r="G43">
        <v>3.9049999999999998</v>
      </c>
      <c r="H43">
        <v>3.9026000000000001</v>
      </c>
      <c r="I43">
        <v>23</v>
      </c>
      <c r="J43">
        <v>23.1</v>
      </c>
      <c r="K43" t="s">
        <v>1</v>
      </c>
      <c r="L43">
        <v>23.425999999999998</v>
      </c>
      <c r="M43">
        <v>2.37</v>
      </c>
      <c r="N43" t="s">
        <v>2</v>
      </c>
      <c r="O43">
        <v>9999</v>
      </c>
      <c r="P43" t="s">
        <v>3</v>
      </c>
      <c r="Q43">
        <v>9999</v>
      </c>
      <c r="R43">
        <v>7.3040000000000003</v>
      </c>
      <c r="S43" t="s">
        <v>4</v>
      </c>
      <c r="T43">
        <v>3.7671000000000001</v>
      </c>
      <c r="U43">
        <v>3.7622</v>
      </c>
      <c r="V43">
        <v>3.7633999999999999</v>
      </c>
      <c r="W43">
        <v>3.7610000000000001</v>
      </c>
      <c r="X43">
        <v>3.7622</v>
      </c>
      <c r="Y43">
        <v>3.7658999999999998</v>
      </c>
      <c r="Z43">
        <v>23.6</v>
      </c>
      <c r="AA43">
        <v>23.2</v>
      </c>
      <c r="AB43" t="s">
        <v>5</v>
      </c>
      <c r="AC43">
        <v>3.8769</v>
      </c>
      <c r="AD43">
        <v>3.8733</v>
      </c>
      <c r="AE43">
        <v>3.8744999999999998</v>
      </c>
      <c r="AF43">
        <v>3.8721000000000001</v>
      </c>
      <c r="AG43">
        <v>3.8757000000000001</v>
      </c>
      <c r="AH43">
        <v>3.8744999999999998</v>
      </c>
      <c r="AI43">
        <v>24.6</v>
      </c>
      <c r="AJ43">
        <v>23.3</v>
      </c>
      <c r="AK43">
        <f t="shared" si="0"/>
        <v>2.3999999999997357</v>
      </c>
      <c r="AL43">
        <f t="shared" si="1"/>
        <v>6.0999999999999943</v>
      </c>
      <c r="AM43">
        <f t="shared" si="2"/>
        <v>4.7999999999999154</v>
      </c>
      <c r="AT43">
        <f t="shared" si="3"/>
        <v>23.247</v>
      </c>
    </row>
    <row r="44" spans="1:46" x14ac:dyDescent="0.25">
      <c r="A44" t="s">
        <v>50</v>
      </c>
      <c r="B44" t="s">
        <v>0</v>
      </c>
      <c r="C44">
        <v>3.9062000000000001</v>
      </c>
      <c r="D44">
        <v>3.9049999999999998</v>
      </c>
      <c r="E44">
        <v>3.9062000000000001</v>
      </c>
      <c r="F44">
        <v>3.9049999999999998</v>
      </c>
      <c r="G44">
        <v>3.9001000000000001</v>
      </c>
      <c r="H44">
        <v>3.9037999999999999</v>
      </c>
      <c r="I44">
        <v>23.2</v>
      </c>
      <c r="J44">
        <v>23</v>
      </c>
      <c r="K44" t="s">
        <v>1</v>
      </c>
      <c r="L44">
        <v>23.431999999999999</v>
      </c>
      <c r="M44">
        <v>2.37</v>
      </c>
      <c r="N44" t="s">
        <v>2</v>
      </c>
      <c r="O44">
        <v>9999</v>
      </c>
      <c r="P44" t="s">
        <v>3</v>
      </c>
      <c r="Q44">
        <v>9999</v>
      </c>
      <c r="R44">
        <v>7.3014000000000001</v>
      </c>
      <c r="S44" t="s">
        <v>4</v>
      </c>
      <c r="T44">
        <v>3.7646000000000002</v>
      </c>
      <c r="U44">
        <v>3.7633999999999999</v>
      </c>
      <c r="V44">
        <v>3.7658999999999998</v>
      </c>
      <c r="W44">
        <v>3.7658999999999998</v>
      </c>
      <c r="X44">
        <v>3.7646000000000002</v>
      </c>
      <c r="Y44">
        <v>3.7633999999999999</v>
      </c>
      <c r="Z44">
        <v>23.8</v>
      </c>
      <c r="AA44">
        <v>23.1</v>
      </c>
      <c r="AB44" t="s">
        <v>5</v>
      </c>
      <c r="AC44">
        <v>3.8782000000000001</v>
      </c>
      <c r="AD44">
        <v>3.8757000000000001</v>
      </c>
      <c r="AE44">
        <v>3.8769</v>
      </c>
      <c r="AF44">
        <v>3.8769</v>
      </c>
      <c r="AG44">
        <v>3.8721000000000001</v>
      </c>
      <c r="AH44">
        <v>3.8744999999999998</v>
      </c>
      <c r="AI44">
        <v>25.1</v>
      </c>
      <c r="AJ44">
        <v>23.2</v>
      </c>
      <c r="AK44">
        <f t="shared" si="0"/>
        <v>6.0999999999999943</v>
      </c>
      <c r="AL44">
        <f t="shared" si="1"/>
        <v>2.4999999999999467</v>
      </c>
      <c r="AM44">
        <f t="shared" si="2"/>
        <v>6.0999999999999943</v>
      </c>
      <c r="AT44">
        <f t="shared" si="3"/>
        <v>23.254300000000001</v>
      </c>
    </row>
    <row r="45" spans="1:46" x14ac:dyDescent="0.25">
      <c r="A45" t="s">
        <v>51</v>
      </c>
      <c r="B45" t="s">
        <v>0</v>
      </c>
      <c r="C45">
        <v>3.9037999999999999</v>
      </c>
      <c r="D45">
        <v>3.9037999999999999</v>
      </c>
      <c r="E45">
        <v>3.9049999999999998</v>
      </c>
      <c r="F45">
        <v>3.9037999999999999</v>
      </c>
      <c r="G45">
        <v>3.9037999999999999</v>
      </c>
      <c r="H45">
        <v>3.9062000000000001</v>
      </c>
      <c r="I45">
        <v>22.9</v>
      </c>
      <c r="J45">
        <v>22.8</v>
      </c>
      <c r="K45" t="s">
        <v>1</v>
      </c>
      <c r="L45">
        <v>23.431999999999999</v>
      </c>
      <c r="M45">
        <v>2.42</v>
      </c>
      <c r="N45" t="s">
        <v>2</v>
      </c>
      <c r="O45">
        <v>9999</v>
      </c>
      <c r="P45" t="s">
        <v>3</v>
      </c>
      <c r="Q45">
        <v>9999</v>
      </c>
      <c r="R45">
        <v>7.3643999999999998</v>
      </c>
      <c r="S45" t="s">
        <v>4</v>
      </c>
      <c r="T45">
        <v>3.7633999999999999</v>
      </c>
      <c r="U45">
        <v>3.7622</v>
      </c>
      <c r="V45">
        <v>3.7633999999999999</v>
      </c>
      <c r="W45">
        <v>3.7671000000000001</v>
      </c>
      <c r="X45">
        <v>3.7610000000000001</v>
      </c>
      <c r="Y45">
        <v>3.7610000000000001</v>
      </c>
      <c r="Z45">
        <v>23.4</v>
      </c>
      <c r="AA45">
        <v>22.9</v>
      </c>
      <c r="AB45" t="s">
        <v>5</v>
      </c>
      <c r="AC45">
        <v>3.8744999999999998</v>
      </c>
      <c r="AD45">
        <v>3.8733</v>
      </c>
      <c r="AE45">
        <v>3.8757000000000001</v>
      </c>
      <c r="AF45">
        <v>3.8757000000000001</v>
      </c>
      <c r="AG45">
        <v>3.8733</v>
      </c>
      <c r="AH45">
        <v>3.8769</v>
      </c>
      <c r="AI45">
        <v>24.3</v>
      </c>
      <c r="AJ45">
        <v>23</v>
      </c>
      <c r="AK45">
        <f t="shared" si="0"/>
        <v>2.4000000000001798</v>
      </c>
      <c r="AL45">
        <f t="shared" si="1"/>
        <v>6.0999999999999943</v>
      </c>
      <c r="AM45">
        <f t="shared" si="2"/>
        <v>3.6000000000000476</v>
      </c>
      <c r="AT45">
        <f t="shared" si="3"/>
        <v>23.249399999999998</v>
      </c>
    </row>
    <row r="46" spans="1:46" x14ac:dyDescent="0.25">
      <c r="A46" t="s">
        <v>52</v>
      </c>
      <c r="B46" t="s">
        <v>0</v>
      </c>
      <c r="C46">
        <v>3.9049999999999998</v>
      </c>
      <c r="D46">
        <v>3.9037999999999999</v>
      </c>
      <c r="E46">
        <v>3.9049999999999998</v>
      </c>
      <c r="F46">
        <v>3.9049999999999998</v>
      </c>
      <c r="G46">
        <v>3.9049999999999998</v>
      </c>
      <c r="H46">
        <v>3.9049999999999998</v>
      </c>
      <c r="I46">
        <v>23</v>
      </c>
      <c r="J46">
        <v>23.2</v>
      </c>
      <c r="K46" t="s">
        <v>1</v>
      </c>
      <c r="L46">
        <v>23.434000000000001</v>
      </c>
      <c r="M46">
        <v>2.4</v>
      </c>
      <c r="N46" t="s">
        <v>2</v>
      </c>
      <c r="O46">
        <v>9999</v>
      </c>
      <c r="P46" t="s">
        <v>3</v>
      </c>
      <c r="Q46">
        <v>9999</v>
      </c>
      <c r="R46">
        <v>7.3083</v>
      </c>
      <c r="S46" t="s">
        <v>4</v>
      </c>
      <c r="T46">
        <v>3.7646000000000002</v>
      </c>
      <c r="U46">
        <v>3.7633999999999999</v>
      </c>
      <c r="V46">
        <v>3.7658999999999998</v>
      </c>
      <c r="W46">
        <v>3.7610000000000001</v>
      </c>
      <c r="X46">
        <v>3.7658999999999998</v>
      </c>
      <c r="Y46">
        <v>3.7683</v>
      </c>
      <c r="Z46">
        <v>23.7</v>
      </c>
      <c r="AA46">
        <v>23.2</v>
      </c>
      <c r="AB46" t="s">
        <v>5</v>
      </c>
      <c r="AC46">
        <v>3.8757000000000001</v>
      </c>
      <c r="AD46">
        <v>3.8744999999999998</v>
      </c>
      <c r="AE46">
        <v>3.8757000000000001</v>
      </c>
      <c r="AF46">
        <v>3.8744999999999998</v>
      </c>
      <c r="AG46">
        <v>3.8757000000000001</v>
      </c>
      <c r="AH46">
        <v>3.8757000000000001</v>
      </c>
      <c r="AI46">
        <v>25.1</v>
      </c>
      <c r="AJ46">
        <v>23.3</v>
      </c>
      <c r="AK46">
        <f t="shared" si="0"/>
        <v>1.1999999999998678</v>
      </c>
      <c r="AL46">
        <f t="shared" si="1"/>
        <v>7.2999999999998622</v>
      </c>
      <c r="AM46">
        <f t="shared" si="2"/>
        <v>1.2000000000003119</v>
      </c>
      <c r="AT46">
        <f t="shared" si="3"/>
        <v>23.251800000000003</v>
      </c>
    </row>
    <row r="47" spans="1:46" x14ac:dyDescent="0.25">
      <c r="A47" t="s">
        <v>53</v>
      </c>
      <c r="B47" t="s">
        <v>0</v>
      </c>
      <c r="C47">
        <v>3.9049999999999998</v>
      </c>
      <c r="D47">
        <v>3.9049999999999998</v>
      </c>
      <c r="E47">
        <v>3.9062000000000001</v>
      </c>
      <c r="F47">
        <v>3.9049999999999998</v>
      </c>
      <c r="G47">
        <v>3.9037999999999999</v>
      </c>
      <c r="H47">
        <v>3.9049999999999998</v>
      </c>
      <c r="I47">
        <v>23.2</v>
      </c>
      <c r="J47">
        <v>22.8</v>
      </c>
      <c r="K47" t="s">
        <v>1</v>
      </c>
      <c r="L47">
        <v>23.434000000000001</v>
      </c>
      <c r="M47">
        <v>2.38</v>
      </c>
      <c r="N47" t="s">
        <v>2</v>
      </c>
      <c r="O47">
        <v>9999</v>
      </c>
      <c r="P47" t="s">
        <v>3</v>
      </c>
      <c r="Q47">
        <v>9999</v>
      </c>
      <c r="R47">
        <v>7.2515999999999998</v>
      </c>
      <c r="S47" t="s">
        <v>4</v>
      </c>
      <c r="T47">
        <v>3.7658999999999998</v>
      </c>
      <c r="U47">
        <v>3.7646000000000002</v>
      </c>
      <c r="V47">
        <v>3.7683</v>
      </c>
      <c r="W47">
        <v>3.7671000000000001</v>
      </c>
      <c r="X47">
        <v>3.7633999999999999</v>
      </c>
      <c r="Y47">
        <v>3.7633999999999999</v>
      </c>
      <c r="Z47">
        <v>23.8</v>
      </c>
      <c r="AA47">
        <v>23</v>
      </c>
      <c r="AB47" t="s">
        <v>5</v>
      </c>
      <c r="AC47">
        <v>3.8757000000000001</v>
      </c>
      <c r="AD47">
        <v>3.8757000000000001</v>
      </c>
      <c r="AE47">
        <v>3.8769</v>
      </c>
      <c r="AF47">
        <v>3.8769</v>
      </c>
      <c r="AG47">
        <v>3.8733</v>
      </c>
      <c r="AH47">
        <v>3.8744999999999998</v>
      </c>
      <c r="AI47">
        <v>24.7</v>
      </c>
      <c r="AJ47">
        <v>23.1</v>
      </c>
      <c r="AK47">
        <f t="shared" si="0"/>
        <v>2.4000000000001798</v>
      </c>
      <c r="AL47">
        <f t="shared" si="1"/>
        <v>4.9000000000001265</v>
      </c>
      <c r="AM47">
        <f t="shared" si="2"/>
        <v>3.6000000000000476</v>
      </c>
      <c r="AT47">
        <f t="shared" si="3"/>
        <v>23.253</v>
      </c>
    </row>
    <row r="48" spans="1:46" x14ac:dyDescent="0.25">
      <c r="A48" t="s">
        <v>54</v>
      </c>
      <c r="B48" t="s">
        <v>0</v>
      </c>
      <c r="C48">
        <v>3.9087000000000001</v>
      </c>
      <c r="D48">
        <v>3.9062000000000001</v>
      </c>
      <c r="E48">
        <v>3.9049999999999998</v>
      </c>
      <c r="F48">
        <v>3.9037999999999999</v>
      </c>
      <c r="G48">
        <v>3.9026000000000001</v>
      </c>
      <c r="H48">
        <v>3.9098999999999999</v>
      </c>
      <c r="I48">
        <v>22.9</v>
      </c>
      <c r="J48">
        <v>22.7</v>
      </c>
      <c r="K48" t="s">
        <v>1</v>
      </c>
      <c r="L48">
        <v>23.440999999999999</v>
      </c>
      <c r="M48">
        <v>2.38</v>
      </c>
      <c r="N48" t="s">
        <v>2</v>
      </c>
      <c r="O48">
        <v>9999</v>
      </c>
      <c r="P48" t="s">
        <v>3</v>
      </c>
      <c r="Q48">
        <v>9999</v>
      </c>
      <c r="R48">
        <v>7.1877000000000004</v>
      </c>
      <c r="S48" t="s">
        <v>4</v>
      </c>
      <c r="T48">
        <v>3.7707000000000002</v>
      </c>
      <c r="U48">
        <v>3.7671000000000001</v>
      </c>
      <c r="V48">
        <v>3.7671000000000001</v>
      </c>
      <c r="W48">
        <v>3.7646000000000002</v>
      </c>
      <c r="X48">
        <v>3.7658999999999998</v>
      </c>
      <c r="Y48">
        <v>3.7719999999999998</v>
      </c>
      <c r="Z48">
        <v>23.6</v>
      </c>
      <c r="AA48">
        <v>22.9</v>
      </c>
      <c r="AB48" t="s">
        <v>5</v>
      </c>
      <c r="AC48">
        <v>3.8805999999999998</v>
      </c>
      <c r="AD48">
        <v>3.8769</v>
      </c>
      <c r="AE48">
        <v>3.8744999999999998</v>
      </c>
      <c r="AF48">
        <v>3.8744999999999998</v>
      </c>
      <c r="AG48">
        <v>3.8733</v>
      </c>
      <c r="AH48">
        <v>3.883</v>
      </c>
      <c r="AI48">
        <v>24.8</v>
      </c>
      <c r="AJ48">
        <v>23</v>
      </c>
      <c r="AK48">
        <f t="shared" si="0"/>
        <v>7.2999999999998622</v>
      </c>
      <c r="AL48">
        <f t="shared" si="1"/>
        <v>7.3999999999996291</v>
      </c>
      <c r="AM48">
        <f t="shared" si="2"/>
        <v>9.7000000000000419</v>
      </c>
      <c r="AT48">
        <f t="shared" si="3"/>
        <v>23.262799999999999</v>
      </c>
    </row>
    <row r="49" spans="1:46" x14ac:dyDescent="0.25">
      <c r="A49" t="s">
        <v>55</v>
      </c>
      <c r="B49" t="s">
        <v>0</v>
      </c>
      <c r="C49">
        <v>3.9037999999999999</v>
      </c>
      <c r="D49">
        <v>3.9062000000000001</v>
      </c>
      <c r="E49">
        <v>3.9049999999999998</v>
      </c>
      <c r="F49">
        <v>3.9049999999999998</v>
      </c>
      <c r="G49">
        <v>3.9049999999999998</v>
      </c>
      <c r="H49">
        <v>3.9049999999999998</v>
      </c>
      <c r="I49">
        <v>23</v>
      </c>
      <c r="J49">
        <v>22.8</v>
      </c>
      <c r="K49" t="s">
        <v>1</v>
      </c>
      <c r="L49">
        <v>23.434999999999999</v>
      </c>
      <c r="M49">
        <v>2.4</v>
      </c>
      <c r="N49" t="s">
        <v>2</v>
      </c>
      <c r="O49">
        <v>9999</v>
      </c>
      <c r="P49" t="s">
        <v>3</v>
      </c>
      <c r="Q49">
        <v>9999</v>
      </c>
      <c r="R49">
        <v>7.3437000000000001</v>
      </c>
      <c r="S49" t="s">
        <v>4</v>
      </c>
      <c r="T49">
        <v>3.7622</v>
      </c>
      <c r="U49">
        <v>3.7646000000000002</v>
      </c>
      <c r="V49">
        <v>3.7683</v>
      </c>
      <c r="W49">
        <v>3.7610000000000001</v>
      </c>
      <c r="X49">
        <v>3.7646000000000002</v>
      </c>
      <c r="Y49">
        <v>3.7646000000000002</v>
      </c>
      <c r="Z49">
        <v>23.4</v>
      </c>
      <c r="AA49">
        <v>22.8</v>
      </c>
      <c r="AB49" t="s">
        <v>5</v>
      </c>
      <c r="AC49">
        <v>3.8733</v>
      </c>
      <c r="AD49">
        <v>3.8757000000000001</v>
      </c>
      <c r="AE49">
        <v>3.8769</v>
      </c>
      <c r="AF49">
        <v>3.8757000000000001</v>
      </c>
      <c r="AG49">
        <v>3.8757000000000001</v>
      </c>
      <c r="AH49">
        <v>3.8769</v>
      </c>
      <c r="AI49">
        <v>24.5</v>
      </c>
      <c r="AJ49">
        <v>22.9</v>
      </c>
      <c r="AK49">
        <f t="shared" si="0"/>
        <v>2.4000000000001798</v>
      </c>
      <c r="AL49">
        <f t="shared" si="1"/>
        <v>7.2999999999998622</v>
      </c>
      <c r="AM49">
        <f t="shared" si="2"/>
        <v>3.6000000000000476</v>
      </c>
      <c r="AT49">
        <f t="shared" si="3"/>
        <v>23.254200000000001</v>
      </c>
    </row>
    <row r="50" spans="1:46" x14ac:dyDescent="0.25">
      <c r="A50" t="s">
        <v>56</v>
      </c>
      <c r="B50" t="s">
        <v>0</v>
      </c>
      <c r="C50">
        <v>3.9075000000000002</v>
      </c>
      <c r="D50">
        <v>3.9062000000000001</v>
      </c>
      <c r="E50">
        <v>3.9087000000000001</v>
      </c>
      <c r="F50">
        <v>3.9037999999999999</v>
      </c>
      <c r="G50">
        <v>3.9049999999999998</v>
      </c>
      <c r="H50">
        <v>3.9026000000000001</v>
      </c>
      <c r="I50">
        <v>22.6</v>
      </c>
      <c r="J50">
        <v>22.6</v>
      </c>
      <c r="K50" t="s">
        <v>1</v>
      </c>
      <c r="L50">
        <v>23.437999999999999</v>
      </c>
      <c r="M50">
        <v>2.37</v>
      </c>
      <c r="N50" t="s">
        <v>2</v>
      </c>
      <c r="O50">
        <v>9999</v>
      </c>
      <c r="P50" t="s">
        <v>3</v>
      </c>
      <c r="Q50">
        <v>9999</v>
      </c>
      <c r="R50">
        <v>7.38</v>
      </c>
      <c r="S50" t="s">
        <v>4</v>
      </c>
      <c r="T50">
        <v>3.7646000000000002</v>
      </c>
      <c r="U50">
        <v>3.7633999999999999</v>
      </c>
      <c r="V50">
        <v>3.7671000000000001</v>
      </c>
      <c r="W50">
        <v>3.7633999999999999</v>
      </c>
      <c r="X50">
        <v>3.7658999999999998</v>
      </c>
      <c r="Y50">
        <v>3.7597999999999998</v>
      </c>
      <c r="Z50">
        <v>23.5</v>
      </c>
      <c r="AA50">
        <v>22.8</v>
      </c>
      <c r="AB50" t="s">
        <v>5</v>
      </c>
      <c r="AC50">
        <v>3.8782000000000001</v>
      </c>
      <c r="AD50">
        <v>3.8757000000000001</v>
      </c>
      <c r="AE50">
        <v>3.8794</v>
      </c>
      <c r="AF50">
        <v>3.8744999999999998</v>
      </c>
      <c r="AG50">
        <v>3.8757000000000001</v>
      </c>
      <c r="AH50">
        <v>3.8721000000000001</v>
      </c>
      <c r="AI50">
        <v>24.8</v>
      </c>
      <c r="AJ50">
        <v>22.9</v>
      </c>
      <c r="AK50">
        <f t="shared" si="0"/>
        <v>6.0999999999999943</v>
      </c>
      <c r="AL50">
        <f t="shared" si="1"/>
        <v>7.3000000000003062</v>
      </c>
      <c r="AM50">
        <f t="shared" si="2"/>
        <v>7.2999999999998622</v>
      </c>
      <c r="AT50">
        <f t="shared" si="3"/>
        <v>23.255599999999998</v>
      </c>
    </row>
    <row r="51" spans="1:46" x14ac:dyDescent="0.25">
      <c r="A51" t="s">
        <v>57</v>
      </c>
      <c r="B51" t="s">
        <v>0</v>
      </c>
      <c r="C51">
        <v>3.9049999999999998</v>
      </c>
      <c r="D51">
        <v>3.9062000000000001</v>
      </c>
      <c r="E51">
        <v>3.9062000000000001</v>
      </c>
      <c r="F51">
        <v>3.9062000000000001</v>
      </c>
      <c r="G51">
        <v>3.9062000000000001</v>
      </c>
      <c r="H51">
        <v>3.9049999999999998</v>
      </c>
      <c r="I51">
        <v>23</v>
      </c>
      <c r="J51">
        <v>22.7</v>
      </c>
      <c r="K51" t="s">
        <v>1</v>
      </c>
      <c r="L51">
        <v>23.439</v>
      </c>
      <c r="M51">
        <v>2.35</v>
      </c>
      <c r="N51" t="s">
        <v>2</v>
      </c>
      <c r="O51">
        <v>9999</v>
      </c>
      <c r="P51" t="s">
        <v>3</v>
      </c>
      <c r="Q51">
        <v>9999</v>
      </c>
      <c r="R51">
        <v>7.1117999999999997</v>
      </c>
      <c r="S51" t="s">
        <v>4</v>
      </c>
      <c r="T51">
        <v>3.7671000000000001</v>
      </c>
      <c r="U51">
        <v>3.7658999999999998</v>
      </c>
      <c r="V51">
        <v>3.7732000000000001</v>
      </c>
      <c r="W51">
        <v>3.7694999999999999</v>
      </c>
      <c r="X51">
        <v>3.7707000000000002</v>
      </c>
      <c r="Y51">
        <v>3.7694999999999999</v>
      </c>
      <c r="Z51">
        <v>23.7</v>
      </c>
      <c r="AA51">
        <v>22.9</v>
      </c>
      <c r="AB51" t="s">
        <v>5</v>
      </c>
      <c r="AC51">
        <v>3.8769</v>
      </c>
      <c r="AD51">
        <v>3.8757000000000001</v>
      </c>
      <c r="AE51">
        <v>3.8794</v>
      </c>
      <c r="AF51">
        <v>3.8794</v>
      </c>
      <c r="AG51">
        <v>3.8782000000000001</v>
      </c>
      <c r="AH51">
        <v>3.8769</v>
      </c>
      <c r="AI51">
        <v>24.7</v>
      </c>
      <c r="AJ51">
        <v>23</v>
      </c>
      <c r="AK51">
        <f t="shared" ref="AK51:AK110" si="5">1000*(MAX(C51:H51)-MIN(C51:H51))</f>
        <v>1.2000000000003119</v>
      </c>
      <c r="AL51">
        <f t="shared" ref="AL51:AL110" si="6">1000*(MAX(T51:Y51)-MIN(T51:Y51))</f>
        <v>7.3000000000003062</v>
      </c>
      <c r="AM51">
        <f t="shared" ref="AM51:AM110" si="7">1000*(MAX(AC51:AH51)-MIN(AC51:AH51))</f>
        <v>3.6999999999998145</v>
      </c>
      <c r="AT51">
        <f t="shared" si="3"/>
        <v>23.266500000000001</v>
      </c>
    </row>
    <row r="52" spans="1:46" x14ac:dyDescent="0.25">
      <c r="A52" t="s">
        <v>58</v>
      </c>
      <c r="B52" t="s">
        <v>0</v>
      </c>
      <c r="C52">
        <v>3.9062000000000001</v>
      </c>
      <c r="D52">
        <v>3.9037999999999999</v>
      </c>
      <c r="E52">
        <v>3.9075000000000002</v>
      </c>
      <c r="F52">
        <v>3.9037999999999999</v>
      </c>
      <c r="G52">
        <v>3.9049999999999998</v>
      </c>
      <c r="H52">
        <v>3.9049999999999998</v>
      </c>
      <c r="I52">
        <v>22.7</v>
      </c>
      <c r="J52">
        <v>22.5</v>
      </c>
      <c r="K52" t="s">
        <v>1</v>
      </c>
      <c r="L52">
        <v>23.436</v>
      </c>
      <c r="M52">
        <v>2.36</v>
      </c>
      <c r="N52" t="s">
        <v>2</v>
      </c>
      <c r="O52">
        <v>9999</v>
      </c>
      <c r="P52" t="s">
        <v>3</v>
      </c>
      <c r="Q52">
        <v>9999</v>
      </c>
      <c r="R52">
        <v>7.2575000000000003</v>
      </c>
      <c r="S52" t="s">
        <v>4</v>
      </c>
      <c r="T52">
        <v>3.7683</v>
      </c>
      <c r="U52">
        <v>3.7633999999999999</v>
      </c>
      <c r="V52">
        <v>3.7671000000000001</v>
      </c>
      <c r="W52">
        <v>3.7658999999999998</v>
      </c>
      <c r="X52">
        <v>3.7646000000000002</v>
      </c>
      <c r="Y52">
        <v>3.7671000000000001</v>
      </c>
      <c r="Z52">
        <v>23.4</v>
      </c>
      <c r="AA52">
        <v>22.7</v>
      </c>
      <c r="AB52" t="s">
        <v>5</v>
      </c>
      <c r="AC52">
        <v>3.8769</v>
      </c>
      <c r="AD52">
        <v>3.8744999999999998</v>
      </c>
      <c r="AE52">
        <v>3.8782000000000001</v>
      </c>
      <c r="AF52">
        <v>3.8744999999999998</v>
      </c>
      <c r="AG52">
        <v>3.8757000000000001</v>
      </c>
      <c r="AH52">
        <v>3.8757000000000001</v>
      </c>
      <c r="AI52">
        <v>24.5</v>
      </c>
      <c r="AJ52">
        <v>22.8</v>
      </c>
      <c r="AK52">
        <f t="shared" si="5"/>
        <v>3.7000000000002586</v>
      </c>
      <c r="AL52">
        <f t="shared" si="6"/>
        <v>4.9000000000001265</v>
      </c>
      <c r="AM52">
        <f t="shared" si="7"/>
        <v>3.7000000000002586</v>
      </c>
      <c r="AT52">
        <f t="shared" si="3"/>
        <v>23.255499999999998</v>
      </c>
    </row>
    <row r="53" spans="1:46" x14ac:dyDescent="0.25">
      <c r="A53" t="s">
        <v>59</v>
      </c>
      <c r="B53" t="s">
        <v>0</v>
      </c>
      <c r="C53">
        <v>3.9026000000000001</v>
      </c>
      <c r="D53">
        <v>3.9049999999999998</v>
      </c>
      <c r="E53">
        <v>3.9026000000000001</v>
      </c>
      <c r="F53">
        <v>3.9037999999999999</v>
      </c>
      <c r="G53">
        <v>3.9037999999999999</v>
      </c>
      <c r="H53">
        <v>3.9037999999999999</v>
      </c>
      <c r="I53">
        <v>23.1</v>
      </c>
      <c r="J53">
        <v>23.1</v>
      </c>
      <c r="K53" t="s">
        <v>1</v>
      </c>
      <c r="L53">
        <v>23.425999999999998</v>
      </c>
      <c r="M53">
        <v>2.38</v>
      </c>
      <c r="N53" t="s">
        <v>2</v>
      </c>
      <c r="O53">
        <v>9999</v>
      </c>
      <c r="P53" t="s">
        <v>3</v>
      </c>
      <c r="Q53">
        <v>9999</v>
      </c>
      <c r="R53">
        <v>7.3308</v>
      </c>
      <c r="S53" t="s">
        <v>4</v>
      </c>
      <c r="T53">
        <v>3.7610000000000001</v>
      </c>
      <c r="U53">
        <v>3.7658999999999998</v>
      </c>
      <c r="V53">
        <v>3.7622</v>
      </c>
      <c r="W53">
        <v>3.7671000000000001</v>
      </c>
      <c r="X53">
        <v>3.7646000000000002</v>
      </c>
      <c r="Y53">
        <v>3.7572999999999999</v>
      </c>
      <c r="Z53">
        <v>23.8</v>
      </c>
      <c r="AA53">
        <v>23.3</v>
      </c>
      <c r="AB53" t="s">
        <v>5</v>
      </c>
      <c r="AC53">
        <v>3.8733</v>
      </c>
      <c r="AD53">
        <v>3.8757000000000001</v>
      </c>
      <c r="AE53">
        <v>3.8733</v>
      </c>
      <c r="AF53">
        <v>3.8757000000000001</v>
      </c>
      <c r="AG53">
        <v>3.8744999999999998</v>
      </c>
      <c r="AH53">
        <v>3.8733</v>
      </c>
      <c r="AI53">
        <v>24.8</v>
      </c>
      <c r="AJ53">
        <v>23.4</v>
      </c>
      <c r="AK53">
        <f t="shared" si="5"/>
        <v>2.3999999999997357</v>
      </c>
      <c r="AL53">
        <f t="shared" si="6"/>
        <v>9.800000000000253</v>
      </c>
      <c r="AM53">
        <f t="shared" si="7"/>
        <v>2.4000000000001798</v>
      </c>
      <c r="AT53">
        <f t="shared" si="3"/>
        <v>23.245800000000003</v>
      </c>
    </row>
    <row r="54" spans="1:46" x14ac:dyDescent="0.25">
      <c r="A54" t="s">
        <v>60</v>
      </c>
      <c r="B54" t="s">
        <v>0</v>
      </c>
      <c r="C54">
        <v>3.9037999999999999</v>
      </c>
      <c r="D54">
        <v>3.9037999999999999</v>
      </c>
      <c r="E54">
        <v>3.9049999999999998</v>
      </c>
      <c r="F54">
        <v>3.9026000000000001</v>
      </c>
      <c r="G54">
        <v>3.9062000000000001</v>
      </c>
      <c r="H54">
        <v>3.9062000000000001</v>
      </c>
      <c r="I54">
        <v>22.9</v>
      </c>
      <c r="J54">
        <v>22.7</v>
      </c>
      <c r="K54" t="s">
        <v>1</v>
      </c>
      <c r="L54">
        <v>23.431999999999999</v>
      </c>
      <c r="M54">
        <v>2.39</v>
      </c>
      <c r="N54" t="s">
        <v>2</v>
      </c>
      <c r="O54">
        <v>9999</v>
      </c>
      <c r="P54" t="s">
        <v>3</v>
      </c>
      <c r="Q54">
        <v>9999</v>
      </c>
      <c r="R54">
        <v>7.4343000000000004</v>
      </c>
      <c r="S54" t="s">
        <v>4</v>
      </c>
      <c r="T54">
        <v>3.7610000000000001</v>
      </c>
      <c r="U54">
        <v>3.7658999999999998</v>
      </c>
      <c r="V54">
        <v>3.7622</v>
      </c>
      <c r="W54">
        <v>3.7610000000000001</v>
      </c>
      <c r="X54">
        <v>3.7549000000000001</v>
      </c>
      <c r="Y54">
        <v>3.7658999999999998</v>
      </c>
      <c r="Z54">
        <v>23.6</v>
      </c>
      <c r="AA54">
        <v>22.9</v>
      </c>
      <c r="AB54" t="s">
        <v>5</v>
      </c>
      <c r="AC54">
        <v>3.8744999999999998</v>
      </c>
      <c r="AD54">
        <v>3.8744999999999998</v>
      </c>
      <c r="AE54">
        <v>3.8757000000000001</v>
      </c>
      <c r="AF54">
        <v>3.8721000000000001</v>
      </c>
      <c r="AG54">
        <v>3.8757000000000001</v>
      </c>
      <c r="AH54">
        <v>3.8769</v>
      </c>
      <c r="AI54">
        <v>24.5</v>
      </c>
      <c r="AJ54">
        <v>23</v>
      </c>
      <c r="AK54">
        <f t="shared" si="5"/>
        <v>3.6000000000000476</v>
      </c>
      <c r="AL54">
        <f t="shared" si="6"/>
        <v>10.999999999999677</v>
      </c>
      <c r="AM54">
        <f t="shared" si="7"/>
        <v>4.7999999999999154</v>
      </c>
      <c r="AT54">
        <f t="shared" si="3"/>
        <v>23.249400000000001</v>
      </c>
    </row>
    <row r="55" spans="1:46" x14ac:dyDescent="0.25">
      <c r="A55" t="s">
        <v>61</v>
      </c>
      <c r="B55" t="s">
        <v>0</v>
      </c>
      <c r="C55">
        <v>3.9049999999999998</v>
      </c>
      <c r="D55">
        <v>3.9062000000000001</v>
      </c>
      <c r="E55">
        <v>3.9062000000000001</v>
      </c>
      <c r="F55">
        <v>3.9062000000000001</v>
      </c>
      <c r="G55">
        <v>3.9026000000000001</v>
      </c>
      <c r="H55">
        <v>3.9062000000000001</v>
      </c>
      <c r="I55">
        <v>23.4</v>
      </c>
      <c r="J55">
        <v>23</v>
      </c>
      <c r="K55" t="s">
        <v>1</v>
      </c>
      <c r="L55">
        <v>23.437000000000001</v>
      </c>
      <c r="M55">
        <v>2.41</v>
      </c>
      <c r="N55" t="s">
        <v>2</v>
      </c>
      <c r="O55">
        <v>9999</v>
      </c>
      <c r="P55" t="s">
        <v>3</v>
      </c>
      <c r="Q55">
        <v>9999</v>
      </c>
      <c r="R55">
        <v>7.3566000000000003</v>
      </c>
      <c r="S55" t="s">
        <v>4</v>
      </c>
      <c r="T55">
        <v>3.7610000000000001</v>
      </c>
      <c r="U55">
        <v>3.7658999999999998</v>
      </c>
      <c r="V55">
        <v>3.7671000000000001</v>
      </c>
      <c r="W55">
        <v>3.7646000000000002</v>
      </c>
      <c r="X55">
        <v>3.7622</v>
      </c>
      <c r="Y55">
        <v>3.7646000000000002</v>
      </c>
      <c r="Z55">
        <v>24.1</v>
      </c>
      <c r="AA55">
        <v>23.1</v>
      </c>
      <c r="AB55" t="s">
        <v>5</v>
      </c>
      <c r="AC55">
        <v>3.8757000000000001</v>
      </c>
      <c r="AD55">
        <v>3.8769</v>
      </c>
      <c r="AE55">
        <v>3.8769</v>
      </c>
      <c r="AF55">
        <v>3.8769</v>
      </c>
      <c r="AG55">
        <v>3.8733</v>
      </c>
      <c r="AH55">
        <v>3.8769</v>
      </c>
      <c r="AI55">
        <v>25.4</v>
      </c>
      <c r="AJ55">
        <v>23.2</v>
      </c>
      <c r="AK55">
        <f t="shared" si="5"/>
        <v>3.6000000000000476</v>
      </c>
      <c r="AL55">
        <f t="shared" si="6"/>
        <v>6.0999999999999943</v>
      </c>
      <c r="AM55">
        <f t="shared" si="7"/>
        <v>3.6000000000000476</v>
      </c>
      <c r="AT55">
        <f t="shared" si="3"/>
        <v>23.256599999999999</v>
      </c>
    </row>
    <row r="56" spans="1:46" x14ac:dyDescent="0.25">
      <c r="A56" t="s">
        <v>62</v>
      </c>
      <c r="B56" t="s">
        <v>0</v>
      </c>
      <c r="C56">
        <v>3.9026000000000001</v>
      </c>
      <c r="D56">
        <v>3.9037999999999999</v>
      </c>
      <c r="E56">
        <v>3.9026000000000001</v>
      </c>
      <c r="F56">
        <v>3.9037999999999999</v>
      </c>
      <c r="G56">
        <v>3.9049999999999998</v>
      </c>
      <c r="H56">
        <v>3.9026000000000001</v>
      </c>
      <c r="I56">
        <v>23.1</v>
      </c>
      <c r="J56">
        <v>22.8</v>
      </c>
      <c r="K56" t="s">
        <v>1</v>
      </c>
      <c r="L56">
        <v>23.425999999999998</v>
      </c>
      <c r="M56">
        <v>2.38</v>
      </c>
      <c r="N56" t="s">
        <v>2</v>
      </c>
      <c r="O56">
        <v>9999</v>
      </c>
      <c r="P56" t="s">
        <v>3</v>
      </c>
      <c r="Q56">
        <v>9999</v>
      </c>
      <c r="R56">
        <v>7.2937000000000003</v>
      </c>
      <c r="S56" t="s">
        <v>4</v>
      </c>
      <c r="T56">
        <v>3.7646000000000002</v>
      </c>
      <c r="U56">
        <v>3.7622</v>
      </c>
      <c r="V56">
        <v>3.7622</v>
      </c>
      <c r="W56">
        <v>3.7633999999999999</v>
      </c>
      <c r="X56">
        <v>3.7671000000000001</v>
      </c>
      <c r="Y56">
        <v>3.7646000000000002</v>
      </c>
      <c r="Z56">
        <v>23.6</v>
      </c>
      <c r="AA56">
        <v>22.8</v>
      </c>
      <c r="AB56" t="s">
        <v>5</v>
      </c>
      <c r="AC56">
        <v>3.8744999999999998</v>
      </c>
      <c r="AD56">
        <v>3.8744999999999998</v>
      </c>
      <c r="AE56">
        <v>3.8721000000000001</v>
      </c>
      <c r="AF56">
        <v>3.8757000000000001</v>
      </c>
      <c r="AG56">
        <v>3.8757000000000001</v>
      </c>
      <c r="AH56">
        <v>3.8733</v>
      </c>
      <c r="AI56">
        <v>24.6</v>
      </c>
      <c r="AJ56">
        <v>23</v>
      </c>
      <c r="AK56">
        <f t="shared" si="5"/>
        <v>2.3999999999997357</v>
      </c>
      <c r="AL56">
        <f t="shared" si="6"/>
        <v>4.9000000000001265</v>
      </c>
      <c r="AM56">
        <f t="shared" si="7"/>
        <v>3.6000000000000476</v>
      </c>
      <c r="AT56">
        <f t="shared" si="3"/>
        <v>23.245800000000003</v>
      </c>
    </row>
    <row r="57" spans="1:46" x14ac:dyDescent="0.25">
      <c r="A57" t="s">
        <v>63</v>
      </c>
      <c r="B57" t="s">
        <v>0</v>
      </c>
      <c r="C57">
        <v>3.9037999999999999</v>
      </c>
      <c r="D57">
        <v>3.9075000000000002</v>
      </c>
      <c r="E57">
        <v>3.9037999999999999</v>
      </c>
      <c r="F57">
        <v>3.9075000000000002</v>
      </c>
      <c r="G57">
        <v>3.9049999999999998</v>
      </c>
      <c r="H57">
        <v>3.9037999999999999</v>
      </c>
      <c r="I57">
        <v>22.8</v>
      </c>
      <c r="J57">
        <v>22.9</v>
      </c>
      <c r="K57" t="s">
        <v>1</v>
      </c>
      <c r="L57">
        <v>23.434999999999999</v>
      </c>
      <c r="M57">
        <v>2.39</v>
      </c>
      <c r="N57" t="s">
        <v>2</v>
      </c>
      <c r="O57">
        <v>9999</v>
      </c>
      <c r="P57" t="s">
        <v>3</v>
      </c>
      <c r="Q57">
        <v>9999</v>
      </c>
      <c r="R57">
        <v>7.1714000000000002</v>
      </c>
      <c r="S57" t="s">
        <v>4</v>
      </c>
      <c r="T57">
        <v>3.7646000000000002</v>
      </c>
      <c r="U57">
        <v>3.7683</v>
      </c>
      <c r="V57">
        <v>3.7683</v>
      </c>
      <c r="W57">
        <v>3.7719999999999998</v>
      </c>
      <c r="X57">
        <v>3.7671000000000001</v>
      </c>
      <c r="Y57">
        <v>3.7646000000000002</v>
      </c>
      <c r="Z57">
        <v>23.5</v>
      </c>
      <c r="AA57">
        <v>23</v>
      </c>
      <c r="AB57" t="s">
        <v>5</v>
      </c>
      <c r="AC57">
        <v>3.8744999999999998</v>
      </c>
      <c r="AD57">
        <v>3.8782000000000001</v>
      </c>
      <c r="AE57">
        <v>3.8757000000000001</v>
      </c>
      <c r="AF57">
        <v>3.8794</v>
      </c>
      <c r="AG57">
        <v>3.8757000000000001</v>
      </c>
      <c r="AH57">
        <v>3.8744999999999998</v>
      </c>
      <c r="AI57">
        <v>24.8</v>
      </c>
      <c r="AJ57">
        <v>23.1</v>
      </c>
      <c r="AK57">
        <f t="shared" si="5"/>
        <v>3.7000000000002586</v>
      </c>
      <c r="AL57">
        <f t="shared" si="6"/>
        <v>7.3999999999996291</v>
      </c>
      <c r="AM57">
        <f t="shared" si="7"/>
        <v>4.9000000000001265</v>
      </c>
      <c r="AT57">
        <f t="shared" si="3"/>
        <v>23.257999999999999</v>
      </c>
    </row>
    <row r="58" spans="1:46" x14ac:dyDescent="0.25">
      <c r="A58" t="s">
        <v>64</v>
      </c>
      <c r="B58" t="s">
        <v>0</v>
      </c>
      <c r="C58">
        <v>3.9062000000000001</v>
      </c>
      <c r="D58">
        <v>3.9062000000000001</v>
      </c>
      <c r="E58">
        <v>3.9037999999999999</v>
      </c>
      <c r="F58">
        <v>3.9037999999999999</v>
      </c>
      <c r="G58">
        <v>3.9037999999999999</v>
      </c>
      <c r="H58">
        <v>3.9037999999999999</v>
      </c>
      <c r="I58">
        <v>22.7</v>
      </c>
      <c r="J58">
        <v>22.4</v>
      </c>
      <c r="K58" t="s">
        <v>1</v>
      </c>
      <c r="L58">
        <v>23.431999999999999</v>
      </c>
      <c r="M58">
        <v>2.34</v>
      </c>
      <c r="N58" t="s">
        <v>2</v>
      </c>
      <c r="O58">
        <v>9999</v>
      </c>
      <c r="P58" t="s">
        <v>3</v>
      </c>
      <c r="Q58">
        <v>9999</v>
      </c>
      <c r="R58">
        <v>7.3654000000000002</v>
      </c>
      <c r="S58" t="s">
        <v>4</v>
      </c>
      <c r="T58">
        <v>3.7622</v>
      </c>
      <c r="U58">
        <v>3.7633999999999999</v>
      </c>
      <c r="V58">
        <v>3.7646000000000002</v>
      </c>
      <c r="W58">
        <v>3.7622</v>
      </c>
      <c r="X58">
        <v>3.7633999999999999</v>
      </c>
      <c r="Y58">
        <v>3.7633999999999999</v>
      </c>
      <c r="Z58">
        <v>23.1</v>
      </c>
      <c r="AA58">
        <v>22.4</v>
      </c>
      <c r="AB58" t="s">
        <v>5</v>
      </c>
      <c r="AC58">
        <v>3.8757000000000001</v>
      </c>
      <c r="AD58">
        <v>3.8757000000000001</v>
      </c>
      <c r="AE58">
        <v>3.8744999999999998</v>
      </c>
      <c r="AF58">
        <v>3.8744999999999998</v>
      </c>
      <c r="AG58">
        <v>3.8733</v>
      </c>
      <c r="AH58">
        <v>3.8744999999999998</v>
      </c>
      <c r="AI58">
        <v>24.3</v>
      </c>
      <c r="AJ58">
        <v>22.4</v>
      </c>
      <c r="AK58">
        <f t="shared" si="5"/>
        <v>2.4000000000001798</v>
      </c>
      <c r="AL58">
        <f t="shared" si="6"/>
        <v>2.4000000000001798</v>
      </c>
      <c r="AM58">
        <f t="shared" si="7"/>
        <v>2.4000000000001798</v>
      </c>
      <c r="AT58">
        <f t="shared" si="3"/>
        <v>23.248200000000001</v>
      </c>
    </row>
    <row r="59" spans="1:46" x14ac:dyDescent="0.25">
      <c r="A59" t="s">
        <v>65</v>
      </c>
      <c r="B59" t="s">
        <v>0</v>
      </c>
      <c r="C59">
        <v>3.9026000000000001</v>
      </c>
      <c r="D59">
        <v>3.9049999999999998</v>
      </c>
      <c r="E59">
        <v>3.9062000000000001</v>
      </c>
      <c r="F59">
        <v>3.9062000000000001</v>
      </c>
      <c r="G59">
        <v>3.9062000000000001</v>
      </c>
      <c r="H59">
        <v>3.9026000000000001</v>
      </c>
      <c r="I59">
        <v>23.1</v>
      </c>
      <c r="J59">
        <v>22.8</v>
      </c>
      <c r="K59" t="s">
        <v>1</v>
      </c>
      <c r="L59">
        <v>23.433</v>
      </c>
      <c r="M59">
        <v>2.41</v>
      </c>
      <c r="N59" t="s">
        <v>2</v>
      </c>
      <c r="O59">
        <v>9999</v>
      </c>
      <c r="P59" t="s">
        <v>3</v>
      </c>
      <c r="Q59">
        <v>9999</v>
      </c>
      <c r="R59">
        <v>7.3040000000000003</v>
      </c>
      <c r="S59" t="s">
        <v>4</v>
      </c>
      <c r="T59">
        <v>3.7610000000000001</v>
      </c>
      <c r="U59">
        <v>3.7646000000000002</v>
      </c>
      <c r="V59">
        <v>3.7646000000000002</v>
      </c>
      <c r="W59">
        <v>3.7671000000000001</v>
      </c>
      <c r="X59">
        <v>3.7658999999999998</v>
      </c>
      <c r="Y59">
        <v>3.7633999999999999</v>
      </c>
      <c r="Z59">
        <v>23.8</v>
      </c>
      <c r="AA59">
        <v>22.8</v>
      </c>
      <c r="AB59" t="s">
        <v>5</v>
      </c>
      <c r="AC59">
        <v>3.8744999999999998</v>
      </c>
      <c r="AD59">
        <v>3.8757000000000001</v>
      </c>
      <c r="AE59">
        <v>3.8757000000000001</v>
      </c>
      <c r="AF59">
        <v>3.8769</v>
      </c>
      <c r="AG59">
        <v>3.8769</v>
      </c>
      <c r="AH59">
        <v>3.8733</v>
      </c>
      <c r="AI59">
        <v>25</v>
      </c>
      <c r="AJ59">
        <v>22.9</v>
      </c>
      <c r="AK59">
        <f t="shared" si="5"/>
        <v>3.6000000000000476</v>
      </c>
      <c r="AL59">
        <f t="shared" si="6"/>
        <v>6.0999999999999943</v>
      </c>
      <c r="AM59">
        <f t="shared" si="7"/>
        <v>3.6000000000000476</v>
      </c>
      <c r="AT59">
        <f t="shared" si="3"/>
        <v>23.253</v>
      </c>
    </row>
    <row r="60" spans="1:46" x14ac:dyDescent="0.25">
      <c r="A60" t="s">
        <v>66</v>
      </c>
      <c r="B60" t="s">
        <v>0</v>
      </c>
      <c r="C60">
        <v>3.9049999999999998</v>
      </c>
      <c r="D60">
        <v>3.9026000000000001</v>
      </c>
      <c r="E60">
        <v>3.9037999999999999</v>
      </c>
      <c r="F60">
        <v>3.9062000000000001</v>
      </c>
      <c r="G60">
        <v>3.9026000000000001</v>
      </c>
      <c r="H60">
        <v>3.9037999999999999</v>
      </c>
      <c r="I60">
        <v>23.1</v>
      </c>
      <c r="J60">
        <v>22.8</v>
      </c>
      <c r="K60" t="s">
        <v>1</v>
      </c>
      <c r="L60">
        <v>23.43</v>
      </c>
      <c r="M60">
        <v>2.39</v>
      </c>
      <c r="N60" t="s">
        <v>2</v>
      </c>
      <c r="O60">
        <v>9999</v>
      </c>
      <c r="P60" t="s">
        <v>3</v>
      </c>
      <c r="Q60">
        <v>9999</v>
      </c>
      <c r="R60">
        <v>7.2869000000000002</v>
      </c>
      <c r="S60" t="s">
        <v>4</v>
      </c>
      <c r="T60">
        <v>3.7658999999999998</v>
      </c>
      <c r="U60">
        <v>3.7646000000000002</v>
      </c>
      <c r="V60">
        <v>3.7658999999999998</v>
      </c>
      <c r="W60">
        <v>3.7671000000000001</v>
      </c>
      <c r="X60">
        <v>3.7633999999999999</v>
      </c>
      <c r="Y60">
        <v>3.7610000000000001</v>
      </c>
      <c r="Z60">
        <v>23.7</v>
      </c>
      <c r="AA60">
        <v>23</v>
      </c>
      <c r="AB60" t="s">
        <v>5</v>
      </c>
      <c r="AC60">
        <v>3.8757000000000001</v>
      </c>
      <c r="AD60">
        <v>3.8744999999999998</v>
      </c>
      <c r="AE60">
        <v>3.8744999999999998</v>
      </c>
      <c r="AF60">
        <v>3.8782000000000001</v>
      </c>
      <c r="AG60">
        <v>3.8733</v>
      </c>
      <c r="AH60">
        <v>3.8744999999999998</v>
      </c>
      <c r="AI60">
        <v>24.8</v>
      </c>
      <c r="AJ60">
        <v>23.1</v>
      </c>
      <c r="AK60">
        <f t="shared" si="5"/>
        <v>3.6000000000000476</v>
      </c>
      <c r="AL60">
        <f t="shared" si="6"/>
        <v>6.0999999999999943</v>
      </c>
      <c r="AM60">
        <f t="shared" si="7"/>
        <v>4.9000000000001265</v>
      </c>
      <c r="AT60">
        <f t="shared" si="3"/>
        <v>23.250699999999998</v>
      </c>
    </row>
    <row r="61" spans="1:46" x14ac:dyDescent="0.25">
      <c r="A61" t="s">
        <v>67</v>
      </c>
      <c r="B61" t="s">
        <v>0</v>
      </c>
      <c r="C61">
        <v>3.9037999999999999</v>
      </c>
      <c r="D61">
        <v>3.9037999999999999</v>
      </c>
      <c r="E61">
        <v>3.9062000000000001</v>
      </c>
      <c r="F61">
        <v>3.9037999999999999</v>
      </c>
      <c r="G61">
        <v>3.9049999999999998</v>
      </c>
      <c r="H61">
        <v>3.9037999999999999</v>
      </c>
      <c r="I61">
        <v>22.4</v>
      </c>
      <c r="J61">
        <v>22.5</v>
      </c>
      <c r="K61" t="s">
        <v>1</v>
      </c>
      <c r="L61">
        <v>23.431999999999999</v>
      </c>
      <c r="M61">
        <v>2.4</v>
      </c>
      <c r="N61" t="s">
        <v>2</v>
      </c>
      <c r="O61">
        <v>9999</v>
      </c>
      <c r="P61" t="s">
        <v>3</v>
      </c>
      <c r="Q61">
        <v>9999</v>
      </c>
      <c r="R61">
        <v>7.4827000000000004</v>
      </c>
      <c r="S61" t="s">
        <v>4</v>
      </c>
      <c r="T61">
        <v>3.7572999999999999</v>
      </c>
      <c r="U61">
        <v>3.7610000000000001</v>
      </c>
      <c r="V61">
        <v>3.7633999999999999</v>
      </c>
      <c r="W61">
        <v>3.7610000000000001</v>
      </c>
      <c r="X61">
        <v>3.7622</v>
      </c>
      <c r="Y61">
        <v>3.7622</v>
      </c>
      <c r="Z61">
        <v>23.1</v>
      </c>
      <c r="AA61">
        <v>22.5</v>
      </c>
      <c r="AB61" t="s">
        <v>5</v>
      </c>
      <c r="AC61">
        <v>3.8733</v>
      </c>
      <c r="AD61">
        <v>3.8733</v>
      </c>
      <c r="AE61">
        <v>3.8757000000000001</v>
      </c>
      <c r="AF61">
        <v>3.8744999999999998</v>
      </c>
      <c r="AG61">
        <v>3.8744999999999998</v>
      </c>
      <c r="AH61">
        <v>3.8744999999999998</v>
      </c>
      <c r="AI61">
        <v>24.4</v>
      </c>
      <c r="AJ61">
        <v>22.6</v>
      </c>
      <c r="AK61">
        <f t="shared" si="5"/>
        <v>2.4000000000001798</v>
      </c>
      <c r="AL61">
        <f t="shared" si="6"/>
        <v>6.0999999999999943</v>
      </c>
      <c r="AM61">
        <f t="shared" si="7"/>
        <v>2.4000000000001798</v>
      </c>
      <c r="AT61">
        <f t="shared" si="3"/>
        <v>23.245799999999999</v>
      </c>
    </row>
    <row r="62" spans="1:46" x14ac:dyDescent="0.25">
      <c r="A62" t="s">
        <v>68</v>
      </c>
      <c r="B62" t="s">
        <v>0</v>
      </c>
      <c r="C62">
        <v>3.9075000000000002</v>
      </c>
      <c r="D62">
        <v>3.9087000000000001</v>
      </c>
      <c r="E62">
        <v>3.9062000000000001</v>
      </c>
      <c r="F62">
        <v>3.9062000000000001</v>
      </c>
      <c r="G62">
        <v>3.9037999999999999</v>
      </c>
      <c r="H62">
        <v>3.9049999999999998</v>
      </c>
      <c r="I62">
        <v>23.3</v>
      </c>
      <c r="J62">
        <v>23.1</v>
      </c>
      <c r="K62" t="s">
        <v>1</v>
      </c>
      <c r="L62">
        <v>23.442</v>
      </c>
      <c r="M62">
        <v>2.38</v>
      </c>
      <c r="N62" t="s">
        <v>2</v>
      </c>
      <c r="O62">
        <v>9999</v>
      </c>
      <c r="P62" t="s">
        <v>3</v>
      </c>
      <c r="Q62">
        <v>9999</v>
      </c>
      <c r="R62">
        <v>7.3117999999999999</v>
      </c>
      <c r="S62" t="s">
        <v>4</v>
      </c>
      <c r="T62">
        <v>3.7658999999999998</v>
      </c>
      <c r="U62">
        <v>3.7683</v>
      </c>
      <c r="V62">
        <v>3.7646000000000002</v>
      </c>
      <c r="W62">
        <v>3.7646000000000002</v>
      </c>
      <c r="X62">
        <v>3.7646000000000002</v>
      </c>
      <c r="Y62">
        <v>3.7671000000000001</v>
      </c>
      <c r="Z62">
        <v>23.8</v>
      </c>
      <c r="AA62">
        <v>23.1</v>
      </c>
      <c r="AB62" t="s">
        <v>5</v>
      </c>
      <c r="AC62">
        <v>3.8794</v>
      </c>
      <c r="AD62">
        <v>3.8794</v>
      </c>
      <c r="AE62">
        <v>3.8769</v>
      </c>
      <c r="AF62">
        <v>3.8769</v>
      </c>
      <c r="AG62">
        <v>3.8744999999999998</v>
      </c>
      <c r="AH62">
        <v>3.8757000000000001</v>
      </c>
      <c r="AI62">
        <v>25.1</v>
      </c>
      <c r="AJ62">
        <v>23.2</v>
      </c>
      <c r="AK62">
        <f t="shared" si="5"/>
        <v>4.9000000000001265</v>
      </c>
      <c r="AL62">
        <f t="shared" si="6"/>
        <v>3.6999999999998145</v>
      </c>
      <c r="AM62">
        <f t="shared" si="7"/>
        <v>4.9000000000001265</v>
      </c>
      <c r="AT62">
        <f t="shared" si="3"/>
        <v>23.262799999999999</v>
      </c>
    </row>
    <row r="63" spans="1:46" x14ac:dyDescent="0.25">
      <c r="A63" t="s">
        <v>69</v>
      </c>
      <c r="B63" t="s">
        <v>0</v>
      </c>
      <c r="C63">
        <v>3.9062000000000001</v>
      </c>
      <c r="D63">
        <v>3.9049999999999998</v>
      </c>
      <c r="E63">
        <v>3.9062000000000001</v>
      </c>
      <c r="F63">
        <v>3.9075000000000002</v>
      </c>
      <c r="G63">
        <v>3.9049999999999998</v>
      </c>
      <c r="H63">
        <v>3.9049999999999998</v>
      </c>
      <c r="I63">
        <v>22.6</v>
      </c>
      <c r="J63">
        <v>22.4</v>
      </c>
      <c r="K63" t="s">
        <v>1</v>
      </c>
      <c r="L63">
        <v>23.44</v>
      </c>
      <c r="M63">
        <v>2.4</v>
      </c>
      <c r="N63" t="s">
        <v>2</v>
      </c>
      <c r="O63">
        <v>9999</v>
      </c>
      <c r="P63" t="s">
        <v>3</v>
      </c>
      <c r="Q63">
        <v>9999</v>
      </c>
      <c r="R63">
        <v>7.4173</v>
      </c>
      <c r="S63" t="s">
        <v>4</v>
      </c>
      <c r="T63">
        <v>3.7646000000000002</v>
      </c>
      <c r="U63">
        <v>3.7622</v>
      </c>
      <c r="V63">
        <v>3.7633999999999999</v>
      </c>
      <c r="W63">
        <v>3.7671000000000001</v>
      </c>
      <c r="X63">
        <v>3.7633999999999999</v>
      </c>
      <c r="Y63">
        <v>3.7610000000000001</v>
      </c>
      <c r="Z63">
        <v>23.1</v>
      </c>
      <c r="AA63">
        <v>22.5</v>
      </c>
      <c r="AB63" t="s">
        <v>5</v>
      </c>
      <c r="AC63">
        <v>3.8769</v>
      </c>
      <c r="AD63">
        <v>3.8757000000000001</v>
      </c>
      <c r="AE63">
        <v>3.8769</v>
      </c>
      <c r="AF63">
        <v>3.8782000000000001</v>
      </c>
      <c r="AG63">
        <v>3.8744999999999998</v>
      </c>
      <c r="AH63">
        <v>3.8744999999999998</v>
      </c>
      <c r="AI63">
        <v>24.2</v>
      </c>
      <c r="AJ63">
        <v>22.6</v>
      </c>
      <c r="AK63">
        <f t="shared" si="5"/>
        <v>2.5000000000003908</v>
      </c>
      <c r="AL63">
        <f t="shared" si="6"/>
        <v>6.0999999999999943</v>
      </c>
      <c r="AM63">
        <f t="shared" si="7"/>
        <v>3.7000000000002586</v>
      </c>
      <c r="AT63">
        <f t="shared" si="3"/>
        <v>23.256700000000002</v>
      </c>
    </row>
    <row r="64" spans="1:46" x14ac:dyDescent="0.25">
      <c r="A64" t="s">
        <v>70</v>
      </c>
      <c r="B64" t="s">
        <v>0</v>
      </c>
      <c r="C64">
        <v>3.9049999999999998</v>
      </c>
      <c r="D64">
        <v>3.9037999999999999</v>
      </c>
      <c r="E64">
        <v>3.9062000000000001</v>
      </c>
      <c r="F64">
        <v>3.9037999999999999</v>
      </c>
      <c r="G64">
        <v>3.9037999999999999</v>
      </c>
      <c r="H64">
        <v>3.9037999999999999</v>
      </c>
      <c r="I64">
        <v>22.3</v>
      </c>
      <c r="J64">
        <v>22.2</v>
      </c>
      <c r="K64" t="s">
        <v>1</v>
      </c>
      <c r="L64">
        <v>23.43</v>
      </c>
      <c r="M64">
        <v>2.37</v>
      </c>
      <c r="N64" t="s">
        <v>2</v>
      </c>
      <c r="O64">
        <v>9999</v>
      </c>
      <c r="P64" t="s">
        <v>3</v>
      </c>
      <c r="Q64">
        <v>9999</v>
      </c>
      <c r="R64">
        <v>7.4795999999999996</v>
      </c>
      <c r="S64" t="s">
        <v>4</v>
      </c>
      <c r="T64">
        <v>3.7597999999999998</v>
      </c>
      <c r="U64">
        <v>3.7585000000000002</v>
      </c>
      <c r="V64">
        <v>3.7633999999999999</v>
      </c>
      <c r="W64">
        <v>3.7622</v>
      </c>
      <c r="X64">
        <v>3.7610000000000001</v>
      </c>
      <c r="Y64">
        <v>3.7610000000000001</v>
      </c>
      <c r="Z64">
        <v>22.8</v>
      </c>
      <c r="AA64">
        <v>22.2</v>
      </c>
      <c r="AB64" t="s">
        <v>5</v>
      </c>
      <c r="AC64">
        <v>3.8744999999999998</v>
      </c>
      <c r="AD64">
        <v>3.8733</v>
      </c>
      <c r="AE64">
        <v>3.8769</v>
      </c>
      <c r="AF64">
        <v>3.8733</v>
      </c>
      <c r="AG64">
        <v>3.8733</v>
      </c>
      <c r="AH64">
        <v>3.8733</v>
      </c>
      <c r="AI64">
        <v>23.9</v>
      </c>
      <c r="AJ64">
        <v>22.3</v>
      </c>
      <c r="AK64">
        <f t="shared" si="5"/>
        <v>2.4000000000001798</v>
      </c>
      <c r="AL64">
        <f t="shared" si="6"/>
        <v>4.8999999999996824</v>
      </c>
      <c r="AM64">
        <f t="shared" si="7"/>
        <v>3.6000000000000476</v>
      </c>
      <c r="AT64">
        <f t="shared" si="3"/>
        <v>23.244600000000002</v>
      </c>
    </row>
    <row r="65" spans="1:46" x14ac:dyDescent="0.25">
      <c r="A65" t="s">
        <v>71</v>
      </c>
      <c r="B65" t="s">
        <v>0</v>
      </c>
      <c r="C65">
        <v>3.9037999999999999</v>
      </c>
      <c r="D65">
        <v>3.9049999999999998</v>
      </c>
      <c r="E65">
        <v>3.9049999999999998</v>
      </c>
      <c r="F65">
        <v>3.9049999999999998</v>
      </c>
      <c r="G65">
        <v>3.9037999999999999</v>
      </c>
      <c r="H65">
        <v>3.9049999999999998</v>
      </c>
      <c r="I65">
        <v>22.9</v>
      </c>
      <c r="J65">
        <v>23.1</v>
      </c>
      <c r="K65" t="s">
        <v>1</v>
      </c>
      <c r="L65">
        <v>23.431999999999999</v>
      </c>
      <c r="M65">
        <v>2.38</v>
      </c>
      <c r="N65" t="s">
        <v>2</v>
      </c>
      <c r="O65">
        <v>9999</v>
      </c>
      <c r="P65" t="s">
        <v>3</v>
      </c>
      <c r="Q65">
        <v>9999</v>
      </c>
      <c r="R65">
        <v>7.3498000000000001</v>
      </c>
      <c r="S65" t="s">
        <v>4</v>
      </c>
      <c r="T65">
        <v>3.7610000000000001</v>
      </c>
      <c r="U65">
        <v>3.7658999999999998</v>
      </c>
      <c r="V65">
        <v>3.7646000000000002</v>
      </c>
      <c r="W65">
        <v>3.7646000000000002</v>
      </c>
      <c r="X65">
        <v>3.7622</v>
      </c>
      <c r="Y65">
        <v>3.7622</v>
      </c>
      <c r="Z65">
        <v>23.4</v>
      </c>
      <c r="AA65">
        <v>23.1</v>
      </c>
      <c r="AB65" t="s">
        <v>5</v>
      </c>
      <c r="AC65">
        <v>3.8744999999999998</v>
      </c>
      <c r="AD65">
        <v>3.8757000000000001</v>
      </c>
      <c r="AE65">
        <v>3.8757000000000001</v>
      </c>
      <c r="AF65">
        <v>3.8757000000000001</v>
      </c>
      <c r="AG65">
        <v>3.8744999999999998</v>
      </c>
      <c r="AH65">
        <v>3.8757000000000001</v>
      </c>
      <c r="AI65">
        <v>24.6</v>
      </c>
      <c r="AJ65">
        <v>23.2</v>
      </c>
      <c r="AK65">
        <f t="shared" si="5"/>
        <v>1.1999999999998678</v>
      </c>
      <c r="AL65">
        <f t="shared" si="6"/>
        <v>4.8999999999996824</v>
      </c>
      <c r="AM65">
        <f t="shared" si="7"/>
        <v>1.2000000000003119</v>
      </c>
      <c r="AT65">
        <f t="shared" si="3"/>
        <v>23.251800000000003</v>
      </c>
    </row>
    <row r="66" spans="1:46" x14ac:dyDescent="0.25">
      <c r="A66" t="s">
        <v>72</v>
      </c>
      <c r="B66" t="s">
        <v>0</v>
      </c>
      <c r="C66">
        <v>3.9049999999999998</v>
      </c>
      <c r="D66">
        <v>3.9075000000000002</v>
      </c>
      <c r="E66">
        <v>3.9026000000000001</v>
      </c>
      <c r="F66">
        <v>3.9037999999999999</v>
      </c>
      <c r="G66">
        <v>3.9049999999999998</v>
      </c>
      <c r="H66">
        <v>3.9037999999999999</v>
      </c>
      <c r="I66">
        <v>22.4</v>
      </c>
      <c r="J66">
        <v>22.6</v>
      </c>
      <c r="K66" t="s">
        <v>1</v>
      </c>
      <c r="L66">
        <v>23.431000000000001</v>
      </c>
      <c r="M66">
        <v>2.35</v>
      </c>
      <c r="N66" t="s">
        <v>2</v>
      </c>
      <c r="O66">
        <v>9999</v>
      </c>
      <c r="P66" t="s">
        <v>3</v>
      </c>
      <c r="Q66">
        <v>9999</v>
      </c>
      <c r="R66">
        <v>7.3964999999999996</v>
      </c>
      <c r="S66" t="s">
        <v>4</v>
      </c>
      <c r="T66">
        <v>3.7633999999999999</v>
      </c>
      <c r="U66">
        <v>3.7658999999999998</v>
      </c>
      <c r="V66">
        <v>3.7622</v>
      </c>
      <c r="W66">
        <v>3.7622</v>
      </c>
      <c r="X66">
        <v>3.7597999999999998</v>
      </c>
      <c r="Y66">
        <v>3.7622</v>
      </c>
      <c r="Z66">
        <v>22.9</v>
      </c>
      <c r="AA66">
        <v>22.7</v>
      </c>
      <c r="AB66" t="s">
        <v>5</v>
      </c>
      <c r="AC66">
        <v>3.8744999999999998</v>
      </c>
      <c r="AD66">
        <v>3.8782000000000001</v>
      </c>
      <c r="AE66">
        <v>3.8733</v>
      </c>
      <c r="AF66">
        <v>3.8733</v>
      </c>
      <c r="AG66">
        <v>3.8744999999999998</v>
      </c>
      <c r="AH66">
        <v>3.8733</v>
      </c>
      <c r="AI66">
        <v>23.9</v>
      </c>
      <c r="AJ66">
        <v>22.7</v>
      </c>
      <c r="AK66">
        <f t="shared" si="5"/>
        <v>4.9000000000001265</v>
      </c>
      <c r="AL66">
        <f t="shared" si="6"/>
        <v>6.0999999999999943</v>
      </c>
      <c r="AM66">
        <f t="shared" si="7"/>
        <v>4.9000000000001265</v>
      </c>
      <c r="AT66">
        <f t="shared" si="3"/>
        <v>23.2471</v>
      </c>
    </row>
    <row r="67" spans="1:46" x14ac:dyDescent="0.25">
      <c r="A67" t="s">
        <v>73</v>
      </c>
      <c r="B67" t="s">
        <v>0</v>
      </c>
      <c r="C67">
        <v>3.9049999999999998</v>
      </c>
      <c r="D67">
        <v>3.9049999999999998</v>
      </c>
      <c r="E67">
        <v>3.9049999999999998</v>
      </c>
      <c r="F67">
        <v>3.9049999999999998</v>
      </c>
      <c r="G67">
        <v>3.9062000000000001</v>
      </c>
      <c r="H67">
        <v>3.9062000000000001</v>
      </c>
      <c r="I67">
        <v>21.9</v>
      </c>
      <c r="J67">
        <v>22.2</v>
      </c>
      <c r="K67" t="s">
        <v>1</v>
      </c>
      <c r="L67">
        <v>23.436</v>
      </c>
      <c r="M67">
        <v>2.38</v>
      </c>
      <c r="N67" t="s">
        <v>2</v>
      </c>
      <c r="O67">
        <v>9999</v>
      </c>
      <c r="P67" t="s">
        <v>3</v>
      </c>
      <c r="Q67">
        <v>9999</v>
      </c>
      <c r="R67">
        <v>7.5021000000000004</v>
      </c>
      <c r="S67" t="s">
        <v>4</v>
      </c>
      <c r="T67">
        <v>3.7610000000000001</v>
      </c>
      <c r="U67">
        <v>3.7610000000000001</v>
      </c>
      <c r="V67">
        <v>3.7622</v>
      </c>
      <c r="W67">
        <v>3.7610000000000001</v>
      </c>
      <c r="X67">
        <v>3.7597999999999998</v>
      </c>
      <c r="Y67">
        <v>3.7633999999999999</v>
      </c>
      <c r="Z67">
        <v>22.5</v>
      </c>
      <c r="AA67">
        <v>22.1</v>
      </c>
      <c r="AB67" t="s">
        <v>5</v>
      </c>
      <c r="AC67">
        <v>3.8757000000000001</v>
      </c>
      <c r="AD67">
        <v>3.8744999999999998</v>
      </c>
      <c r="AE67">
        <v>3.8744999999999998</v>
      </c>
      <c r="AF67">
        <v>3.8744999999999998</v>
      </c>
      <c r="AG67">
        <v>3.8757000000000001</v>
      </c>
      <c r="AH67">
        <v>3.8769</v>
      </c>
      <c r="AI67">
        <v>24.1</v>
      </c>
      <c r="AJ67">
        <v>22.2</v>
      </c>
      <c r="AK67">
        <f t="shared" si="5"/>
        <v>1.2000000000003119</v>
      </c>
      <c r="AL67">
        <f t="shared" si="6"/>
        <v>3.6000000000000476</v>
      </c>
      <c r="AM67">
        <f t="shared" si="7"/>
        <v>2.4000000000001798</v>
      </c>
      <c r="AT67">
        <f t="shared" ref="AT67:AT110" si="8">SUM(AC67:AH67)</f>
        <v>23.251799999999996</v>
      </c>
    </row>
    <row r="68" spans="1:46" x14ac:dyDescent="0.25">
      <c r="A68" t="s">
        <v>74</v>
      </c>
      <c r="B68" t="s">
        <v>0</v>
      </c>
      <c r="C68">
        <v>3.9098999999999999</v>
      </c>
      <c r="D68">
        <v>3.9062000000000001</v>
      </c>
      <c r="E68">
        <v>3.9037999999999999</v>
      </c>
      <c r="F68">
        <v>3.9026000000000001</v>
      </c>
      <c r="G68">
        <v>3.9014000000000002</v>
      </c>
      <c r="H68">
        <v>3.9014000000000002</v>
      </c>
      <c r="I68">
        <v>23.1</v>
      </c>
      <c r="J68">
        <v>22.6</v>
      </c>
      <c r="K68" t="s">
        <v>1</v>
      </c>
      <c r="L68">
        <v>23.425999999999998</v>
      </c>
      <c r="M68">
        <v>2.36</v>
      </c>
      <c r="N68" t="s">
        <v>2</v>
      </c>
      <c r="O68">
        <v>9999</v>
      </c>
      <c r="P68" t="s">
        <v>3</v>
      </c>
      <c r="Q68">
        <v>9999</v>
      </c>
      <c r="R68">
        <v>7.2575000000000003</v>
      </c>
      <c r="S68" t="s">
        <v>4</v>
      </c>
      <c r="T68">
        <v>3.7719999999999998</v>
      </c>
      <c r="U68">
        <v>3.7671000000000001</v>
      </c>
      <c r="V68">
        <v>3.7658999999999998</v>
      </c>
      <c r="W68">
        <v>3.7561</v>
      </c>
      <c r="X68">
        <v>3.7646000000000002</v>
      </c>
      <c r="Y68">
        <v>3.7622</v>
      </c>
      <c r="Z68">
        <v>23.6</v>
      </c>
      <c r="AA68">
        <v>22.7</v>
      </c>
      <c r="AB68" t="s">
        <v>5</v>
      </c>
      <c r="AC68">
        <v>3.8818000000000001</v>
      </c>
      <c r="AD68">
        <v>3.8769</v>
      </c>
      <c r="AE68">
        <v>3.8744999999999998</v>
      </c>
      <c r="AF68">
        <v>3.8721000000000001</v>
      </c>
      <c r="AG68">
        <v>3.8721000000000001</v>
      </c>
      <c r="AH68">
        <v>3.8721000000000001</v>
      </c>
      <c r="AI68">
        <v>24.6</v>
      </c>
      <c r="AJ68">
        <v>22.8</v>
      </c>
      <c r="AK68">
        <f t="shared" si="5"/>
        <v>8.49999999999973</v>
      </c>
      <c r="AL68">
        <f t="shared" si="6"/>
        <v>15.899999999999803</v>
      </c>
      <c r="AM68">
        <f t="shared" si="7"/>
        <v>9.7000000000000419</v>
      </c>
      <c r="AT68">
        <f t="shared" si="8"/>
        <v>23.249500000000001</v>
      </c>
    </row>
    <row r="69" spans="1:46" x14ac:dyDescent="0.25">
      <c r="A69" t="s">
        <v>75</v>
      </c>
      <c r="B69" t="s">
        <v>0</v>
      </c>
      <c r="C69">
        <v>3.9075000000000002</v>
      </c>
      <c r="D69">
        <v>3.9062000000000001</v>
      </c>
      <c r="E69">
        <v>3.9049999999999998</v>
      </c>
      <c r="F69">
        <v>3.9049999999999998</v>
      </c>
      <c r="G69">
        <v>3.9026000000000001</v>
      </c>
      <c r="H69">
        <v>3.9049999999999998</v>
      </c>
      <c r="I69">
        <v>22.9</v>
      </c>
      <c r="J69">
        <v>23</v>
      </c>
      <c r="K69" t="s">
        <v>1</v>
      </c>
      <c r="L69">
        <v>23.434000000000001</v>
      </c>
      <c r="M69">
        <v>2.36</v>
      </c>
      <c r="N69" t="s">
        <v>2</v>
      </c>
      <c r="O69">
        <v>9999</v>
      </c>
      <c r="P69" t="s">
        <v>3</v>
      </c>
      <c r="Q69">
        <v>9999</v>
      </c>
      <c r="R69">
        <v>7.2996999999999996</v>
      </c>
      <c r="S69" t="s">
        <v>4</v>
      </c>
      <c r="T69">
        <v>3.7671000000000001</v>
      </c>
      <c r="U69">
        <v>3.7658999999999998</v>
      </c>
      <c r="V69">
        <v>3.7646000000000002</v>
      </c>
      <c r="W69">
        <v>3.7658999999999998</v>
      </c>
      <c r="X69">
        <v>3.7622</v>
      </c>
      <c r="Y69">
        <v>3.7633999999999999</v>
      </c>
      <c r="Z69">
        <v>23.7</v>
      </c>
      <c r="AA69">
        <v>23.1</v>
      </c>
      <c r="AB69" t="s">
        <v>5</v>
      </c>
      <c r="AC69">
        <v>3.8794</v>
      </c>
      <c r="AD69">
        <v>3.8769</v>
      </c>
      <c r="AE69">
        <v>3.8744999999999998</v>
      </c>
      <c r="AF69">
        <v>3.8757000000000001</v>
      </c>
      <c r="AG69">
        <v>3.8721000000000001</v>
      </c>
      <c r="AH69">
        <v>3.8757000000000001</v>
      </c>
      <c r="AI69">
        <v>25</v>
      </c>
      <c r="AJ69">
        <v>23.3</v>
      </c>
      <c r="AK69">
        <f t="shared" si="5"/>
        <v>4.9000000000001265</v>
      </c>
      <c r="AL69">
        <f t="shared" si="6"/>
        <v>4.9000000000001265</v>
      </c>
      <c r="AM69">
        <f t="shared" si="7"/>
        <v>7.2999999999998622</v>
      </c>
      <c r="AT69">
        <f t="shared" si="8"/>
        <v>23.254300000000001</v>
      </c>
    </row>
    <row r="70" spans="1:46" x14ac:dyDescent="0.25">
      <c r="A70" t="s">
        <v>76</v>
      </c>
      <c r="B70" t="s">
        <v>0</v>
      </c>
      <c r="C70">
        <v>3.9098999999999999</v>
      </c>
      <c r="D70">
        <v>3.9062000000000001</v>
      </c>
      <c r="E70">
        <v>3.9062000000000001</v>
      </c>
      <c r="F70">
        <v>3.9049999999999998</v>
      </c>
      <c r="G70">
        <v>3.9014000000000002</v>
      </c>
      <c r="H70">
        <v>3.9049999999999998</v>
      </c>
      <c r="I70">
        <v>23.4</v>
      </c>
      <c r="J70">
        <v>23.3</v>
      </c>
      <c r="K70" t="s">
        <v>1</v>
      </c>
      <c r="L70">
        <v>23.437000000000001</v>
      </c>
      <c r="M70">
        <v>2.37</v>
      </c>
      <c r="N70" t="s">
        <v>2</v>
      </c>
      <c r="O70">
        <v>9999</v>
      </c>
      <c r="P70" t="s">
        <v>3</v>
      </c>
      <c r="Q70">
        <v>9999</v>
      </c>
      <c r="R70">
        <v>7.1711999999999998</v>
      </c>
      <c r="S70" t="s">
        <v>4</v>
      </c>
      <c r="T70">
        <v>3.7755999999999998</v>
      </c>
      <c r="U70">
        <v>3.7683</v>
      </c>
      <c r="V70">
        <v>3.7646000000000002</v>
      </c>
      <c r="W70">
        <v>3.7658999999999998</v>
      </c>
      <c r="X70">
        <v>3.7646000000000002</v>
      </c>
      <c r="Y70">
        <v>3.7683</v>
      </c>
      <c r="Z70">
        <v>23.9</v>
      </c>
      <c r="AA70">
        <v>23.4</v>
      </c>
      <c r="AB70" t="s">
        <v>5</v>
      </c>
      <c r="AC70">
        <v>3.883</v>
      </c>
      <c r="AD70">
        <v>3.8757000000000001</v>
      </c>
      <c r="AE70">
        <v>3.8769</v>
      </c>
      <c r="AF70">
        <v>3.8757000000000001</v>
      </c>
      <c r="AG70">
        <v>3.8708</v>
      </c>
      <c r="AH70">
        <v>3.8757000000000001</v>
      </c>
      <c r="AI70">
        <v>25.2</v>
      </c>
      <c r="AJ70">
        <v>23.5</v>
      </c>
      <c r="AK70">
        <f t="shared" si="5"/>
        <v>8.49999999999973</v>
      </c>
      <c r="AL70">
        <f t="shared" si="6"/>
        <v>10.999999999999677</v>
      </c>
      <c r="AM70">
        <f t="shared" si="7"/>
        <v>12.199999999999989</v>
      </c>
      <c r="AT70">
        <f t="shared" si="8"/>
        <v>23.257800000000003</v>
      </c>
    </row>
    <row r="71" spans="1:46" x14ac:dyDescent="0.25">
      <c r="A71" t="s">
        <v>77</v>
      </c>
      <c r="B71" t="s">
        <v>0</v>
      </c>
      <c r="C71">
        <v>3.9098999999999999</v>
      </c>
      <c r="D71">
        <v>3.9062000000000001</v>
      </c>
      <c r="E71">
        <v>3.9110999999999998</v>
      </c>
      <c r="F71">
        <v>3.9062000000000001</v>
      </c>
      <c r="G71">
        <v>3.9037999999999999</v>
      </c>
      <c r="H71">
        <v>3.9062000000000001</v>
      </c>
      <c r="I71">
        <v>22.5</v>
      </c>
      <c r="J71">
        <v>22.4</v>
      </c>
      <c r="K71" t="s">
        <v>1</v>
      </c>
      <c r="L71">
        <v>23.448</v>
      </c>
      <c r="M71">
        <v>2.4</v>
      </c>
      <c r="N71" t="s">
        <v>2</v>
      </c>
      <c r="O71">
        <v>9999</v>
      </c>
      <c r="P71" t="s">
        <v>3</v>
      </c>
      <c r="Q71">
        <v>9999</v>
      </c>
      <c r="R71">
        <v>7.4663000000000004</v>
      </c>
      <c r="S71" t="s">
        <v>4</v>
      </c>
      <c r="T71">
        <v>3.7646000000000002</v>
      </c>
      <c r="U71">
        <v>3.7622</v>
      </c>
      <c r="V71">
        <v>3.7707000000000002</v>
      </c>
      <c r="W71">
        <v>3.7585000000000002</v>
      </c>
      <c r="X71">
        <v>3.7622</v>
      </c>
      <c r="Y71">
        <v>3.7671000000000001</v>
      </c>
      <c r="Z71">
        <v>23.1</v>
      </c>
      <c r="AA71">
        <v>22.4</v>
      </c>
      <c r="AB71" t="s">
        <v>5</v>
      </c>
      <c r="AC71">
        <v>3.8818000000000001</v>
      </c>
      <c r="AD71">
        <v>3.8769</v>
      </c>
      <c r="AE71">
        <v>3.8818000000000001</v>
      </c>
      <c r="AF71">
        <v>3.8757000000000001</v>
      </c>
      <c r="AG71">
        <v>3.8744999999999998</v>
      </c>
      <c r="AH71">
        <v>3.8769</v>
      </c>
      <c r="AI71">
        <v>24.4</v>
      </c>
      <c r="AJ71">
        <v>22.5</v>
      </c>
      <c r="AK71">
        <f t="shared" si="5"/>
        <v>7.2999999999998622</v>
      </c>
      <c r="AL71">
        <f t="shared" si="6"/>
        <v>12.199999999999989</v>
      </c>
      <c r="AM71">
        <f t="shared" si="7"/>
        <v>7.3000000000003062</v>
      </c>
      <c r="AT71">
        <f t="shared" si="8"/>
        <v>23.267599999999998</v>
      </c>
    </row>
    <row r="72" spans="1:46" x14ac:dyDescent="0.25">
      <c r="A72" t="s">
        <v>78</v>
      </c>
      <c r="B72" t="s">
        <v>0</v>
      </c>
      <c r="C72">
        <v>3.9062000000000001</v>
      </c>
      <c r="D72">
        <v>3.9062000000000001</v>
      </c>
      <c r="E72">
        <v>3.9098999999999999</v>
      </c>
      <c r="F72">
        <v>3.9062000000000001</v>
      </c>
      <c r="G72">
        <v>3.9098999999999999</v>
      </c>
      <c r="H72">
        <v>3.9049999999999998</v>
      </c>
      <c r="I72">
        <v>22.2</v>
      </c>
      <c r="J72">
        <v>22.2</v>
      </c>
      <c r="K72" t="s">
        <v>1</v>
      </c>
      <c r="L72">
        <v>23.446999999999999</v>
      </c>
      <c r="M72">
        <v>2.42</v>
      </c>
      <c r="N72" t="s">
        <v>2</v>
      </c>
      <c r="O72">
        <v>9999</v>
      </c>
      <c r="P72" t="s">
        <v>3</v>
      </c>
      <c r="Q72">
        <v>9999</v>
      </c>
      <c r="R72">
        <v>7.3699000000000003</v>
      </c>
      <c r="S72" t="s">
        <v>4</v>
      </c>
      <c r="T72">
        <v>3.7633999999999999</v>
      </c>
      <c r="U72">
        <v>3.7658999999999998</v>
      </c>
      <c r="V72">
        <v>3.7707000000000002</v>
      </c>
      <c r="W72">
        <v>3.7633999999999999</v>
      </c>
      <c r="X72">
        <v>3.7694999999999999</v>
      </c>
      <c r="Y72">
        <v>3.7633999999999999</v>
      </c>
      <c r="Z72">
        <v>22.6</v>
      </c>
      <c r="AA72">
        <v>22.2</v>
      </c>
      <c r="AB72" t="s">
        <v>5</v>
      </c>
      <c r="AC72">
        <v>3.8757000000000001</v>
      </c>
      <c r="AD72">
        <v>3.8769</v>
      </c>
      <c r="AE72">
        <v>3.8818000000000001</v>
      </c>
      <c r="AF72">
        <v>3.8769</v>
      </c>
      <c r="AG72">
        <v>3.8805999999999998</v>
      </c>
      <c r="AH72">
        <v>3.8744999999999998</v>
      </c>
      <c r="AI72">
        <v>23.6</v>
      </c>
      <c r="AJ72">
        <v>22.3</v>
      </c>
      <c r="AK72">
        <f t="shared" si="5"/>
        <v>4.9000000000001265</v>
      </c>
      <c r="AL72">
        <f t="shared" si="6"/>
        <v>7.3000000000003062</v>
      </c>
      <c r="AM72">
        <f t="shared" si="7"/>
        <v>7.3000000000003062</v>
      </c>
      <c r="AT72">
        <f t="shared" si="8"/>
        <v>23.266400000000001</v>
      </c>
    </row>
    <row r="73" spans="1:46" x14ac:dyDescent="0.25">
      <c r="A73" t="s">
        <v>79</v>
      </c>
      <c r="B73" t="s">
        <v>0</v>
      </c>
      <c r="C73">
        <v>3.9049999999999998</v>
      </c>
      <c r="D73">
        <v>3.9049999999999998</v>
      </c>
      <c r="E73">
        <v>3.9075000000000002</v>
      </c>
      <c r="F73">
        <v>3.9049999999999998</v>
      </c>
      <c r="G73">
        <v>3.9049999999999998</v>
      </c>
      <c r="H73">
        <v>3.9049999999999998</v>
      </c>
      <c r="I73">
        <v>22.3</v>
      </c>
      <c r="J73">
        <v>22.3</v>
      </c>
      <c r="K73" t="s">
        <v>1</v>
      </c>
      <c r="L73">
        <v>23.434999999999999</v>
      </c>
      <c r="M73">
        <v>2.37</v>
      </c>
      <c r="N73" t="s">
        <v>2</v>
      </c>
      <c r="O73">
        <v>9999</v>
      </c>
      <c r="P73" t="s">
        <v>3</v>
      </c>
      <c r="Q73">
        <v>9999</v>
      </c>
      <c r="R73">
        <v>7.4008000000000003</v>
      </c>
      <c r="S73" t="s">
        <v>4</v>
      </c>
      <c r="T73">
        <v>3.7622</v>
      </c>
      <c r="U73">
        <v>3.7646000000000002</v>
      </c>
      <c r="V73">
        <v>3.7633999999999999</v>
      </c>
      <c r="W73">
        <v>3.7633999999999999</v>
      </c>
      <c r="X73">
        <v>3.7633999999999999</v>
      </c>
      <c r="Y73">
        <v>3.7622</v>
      </c>
      <c r="Z73">
        <v>22.9</v>
      </c>
      <c r="AA73">
        <v>22.3</v>
      </c>
      <c r="AB73" t="s">
        <v>5</v>
      </c>
      <c r="AC73">
        <v>3.8744999999999998</v>
      </c>
      <c r="AD73">
        <v>3.8744999999999998</v>
      </c>
      <c r="AE73">
        <v>3.8782000000000001</v>
      </c>
      <c r="AF73">
        <v>3.8757000000000001</v>
      </c>
      <c r="AG73">
        <v>3.8757000000000001</v>
      </c>
      <c r="AH73">
        <v>3.8744999999999998</v>
      </c>
      <c r="AI73">
        <v>24.2</v>
      </c>
      <c r="AJ73">
        <v>22.4</v>
      </c>
      <c r="AK73">
        <f t="shared" si="5"/>
        <v>2.5000000000003908</v>
      </c>
      <c r="AL73">
        <f t="shared" si="6"/>
        <v>2.4000000000001798</v>
      </c>
      <c r="AM73">
        <f t="shared" si="7"/>
        <v>3.7000000000002586</v>
      </c>
      <c r="AT73">
        <f t="shared" si="8"/>
        <v>23.2531</v>
      </c>
    </row>
    <row r="74" spans="1:46" x14ac:dyDescent="0.25">
      <c r="A74" t="s">
        <v>80</v>
      </c>
      <c r="B74" t="s">
        <v>0</v>
      </c>
      <c r="C74">
        <v>3.9037999999999999</v>
      </c>
      <c r="D74">
        <v>3.9049999999999998</v>
      </c>
      <c r="E74">
        <v>3.9037999999999999</v>
      </c>
      <c r="F74">
        <v>3.9014000000000002</v>
      </c>
      <c r="G74">
        <v>3.9148000000000001</v>
      </c>
      <c r="H74">
        <v>3.9123000000000001</v>
      </c>
      <c r="I74">
        <v>22.3</v>
      </c>
      <c r="J74">
        <v>22.2</v>
      </c>
      <c r="K74" t="s">
        <v>1</v>
      </c>
      <c r="L74">
        <v>23.445</v>
      </c>
      <c r="M74">
        <v>2.4</v>
      </c>
      <c r="N74" t="s">
        <v>2</v>
      </c>
      <c r="O74">
        <v>9999</v>
      </c>
      <c r="P74" t="s">
        <v>3</v>
      </c>
      <c r="Q74">
        <v>9999</v>
      </c>
      <c r="R74">
        <v>7.3612000000000002</v>
      </c>
      <c r="S74" t="s">
        <v>4</v>
      </c>
      <c r="T74">
        <v>3.7622</v>
      </c>
      <c r="U74">
        <v>3.7610000000000001</v>
      </c>
      <c r="V74">
        <v>3.7610000000000001</v>
      </c>
      <c r="W74">
        <v>3.7622</v>
      </c>
      <c r="X74">
        <v>3.7768000000000002</v>
      </c>
      <c r="Y74">
        <v>3.7694999999999999</v>
      </c>
      <c r="Z74">
        <v>22.7</v>
      </c>
      <c r="AA74">
        <v>22.2</v>
      </c>
      <c r="AB74" t="s">
        <v>5</v>
      </c>
      <c r="AC74">
        <v>3.8733</v>
      </c>
      <c r="AD74">
        <v>3.8744999999999998</v>
      </c>
      <c r="AE74">
        <v>3.8744999999999998</v>
      </c>
      <c r="AF74">
        <v>3.8721000000000001</v>
      </c>
      <c r="AG74">
        <v>3.8879000000000001</v>
      </c>
      <c r="AH74">
        <v>3.8843000000000001</v>
      </c>
      <c r="AI74">
        <v>23.6</v>
      </c>
      <c r="AJ74">
        <v>22.4</v>
      </c>
      <c r="AK74">
        <f t="shared" si="5"/>
        <v>13.399999999999856</v>
      </c>
      <c r="AL74">
        <f t="shared" si="6"/>
        <v>15.800000000000036</v>
      </c>
      <c r="AM74">
        <f t="shared" si="7"/>
        <v>15.800000000000036</v>
      </c>
      <c r="AT74">
        <f t="shared" si="8"/>
        <v>23.2666</v>
      </c>
    </row>
    <row r="75" spans="1:46" x14ac:dyDescent="0.25">
      <c r="A75" t="s">
        <v>81</v>
      </c>
      <c r="B75" t="s">
        <v>0</v>
      </c>
      <c r="C75">
        <v>3.9062000000000001</v>
      </c>
      <c r="D75">
        <v>3.9075000000000002</v>
      </c>
      <c r="E75">
        <v>3.9136000000000002</v>
      </c>
      <c r="F75">
        <v>3.9049999999999998</v>
      </c>
      <c r="G75">
        <v>3.9037999999999999</v>
      </c>
      <c r="H75">
        <v>3.9037999999999999</v>
      </c>
      <c r="I75">
        <v>23.5</v>
      </c>
      <c r="J75">
        <v>23.4</v>
      </c>
      <c r="K75" t="s">
        <v>1</v>
      </c>
      <c r="L75">
        <v>23.443999999999999</v>
      </c>
      <c r="M75">
        <v>2.39</v>
      </c>
      <c r="N75" t="s">
        <v>2</v>
      </c>
      <c r="O75">
        <v>9999</v>
      </c>
      <c r="P75" t="s">
        <v>3</v>
      </c>
      <c r="Q75">
        <v>9999</v>
      </c>
      <c r="R75">
        <v>7.1402000000000001</v>
      </c>
      <c r="S75" t="s">
        <v>4</v>
      </c>
      <c r="T75">
        <v>3.7671000000000001</v>
      </c>
      <c r="U75">
        <v>3.7719999999999998</v>
      </c>
      <c r="V75">
        <v>3.7793000000000001</v>
      </c>
      <c r="W75">
        <v>3.7658999999999998</v>
      </c>
      <c r="X75">
        <v>3.7694999999999999</v>
      </c>
      <c r="Y75">
        <v>3.7658999999999998</v>
      </c>
      <c r="Z75">
        <v>24.3</v>
      </c>
      <c r="AA75">
        <v>23.4</v>
      </c>
      <c r="AB75" t="s">
        <v>5</v>
      </c>
      <c r="AC75">
        <v>3.8757000000000001</v>
      </c>
      <c r="AD75">
        <v>3.8782000000000001</v>
      </c>
      <c r="AE75">
        <v>3.8866999999999998</v>
      </c>
      <c r="AF75">
        <v>3.8757000000000001</v>
      </c>
      <c r="AG75">
        <v>3.8757000000000001</v>
      </c>
      <c r="AH75">
        <v>3.8744999999999998</v>
      </c>
      <c r="AI75">
        <v>25.7</v>
      </c>
      <c r="AJ75">
        <v>23.5</v>
      </c>
      <c r="AK75">
        <f t="shared" si="5"/>
        <v>9.800000000000253</v>
      </c>
      <c r="AL75">
        <f t="shared" si="6"/>
        <v>13.400000000000301</v>
      </c>
      <c r="AM75">
        <f t="shared" si="7"/>
        <v>12.199999999999989</v>
      </c>
      <c r="AT75">
        <f t="shared" si="8"/>
        <v>23.266500000000001</v>
      </c>
    </row>
    <row r="76" spans="1:46" x14ac:dyDescent="0.25">
      <c r="A76" t="s">
        <v>82</v>
      </c>
      <c r="B76" t="s">
        <v>0</v>
      </c>
      <c r="C76">
        <v>3.9037999999999999</v>
      </c>
      <c r="D76">
        <v>3.9037999999999999</v>
      </c>
      <c r="E76">
        <v>3.9075000000000002</v>
      </c>
      <c r="F76">
        <v>3.9062000000000001</v>
      </c>
      <c r="G76">
        <v>3.9049999999999998</v>
      </c>
      <c r="H76">
        <v>3.9037999999999999</v>
      </c>
      <c r="I76">
        <v>23.3</v>
      </c>
      <c r="J76">
        <v>23.7</v>
      </c>
      <c r="K76" t="s">
        <v>1</v>
      </c>
      <c r="L76">
        <v>23.434000000000001</v>
      </c>
      <c r="M76">
        <v>2.38</v>
      </c>
      <c r="N76" t="s">
        <v>2</v>
      </c>
      <c r="O76">
        <v>6910</v>
      </c>
      <c r="P76" t="s">
        <v>3</v>
      </c>
      <c r="Q76">
        <v>7190</v>
      </c>
      <c r="R76">
        <v>7.2343000000000002</v>
      </c>
      <c r="S76" t="s">
        <v>4</v>
      </c>
      <c r="T76">
        <v>3.7658999999999998</v>
      </c>
      <c r="U76">
        <v>3.7646000000000002</v>
      </c>
      <c r="V76">
        <v>3.7671000000000001</v>
      </c>
      <c r="W76">
        <v>3.7671000000000001</v>
      </c>
      <c r="X76">
        <v>3.7671000000000001</v>
      </c>
      <c r="Y76">
        <v>3.7658999999999998</v>
      </c>
      <c r="Z76">
        <v>23.9</v>
      </c>
      <c r="AA76">
        <v>23.5</v>
      </c>
      <c r="AB76" t="s">
        <v>5</v>
      </c>
      <c r="AC76">
        <v>3.8744999999999998</v>
      </c>
      <c r="AD76">
        <v>3.8744999999999998</v>
      </c>
      <c r="AE76">
        <v>3.8782000000000001</v>
      </c>
      <c r="AF76">
        <v>3.8769</v>
      </c>
      <c r="AG76">
        <v>3.8757000000000001</v>
      </c>
      <c r="AH76">
        <v>3.8744999999999998</v>
      </c>
      <c r="AI76">
        <v>24.8</v>
      </c>
      <c r="AJ76">
        <v>23.6</v>
      </c>
      <c r="AK76">
        <f t="shared" si="5"/>
        <v>3.7000000000002586</v>
      </c>
      <c r="AL76">
        <f t="shared" si="6"/>
        <v>2.4999999999999467</v>
      </c>
      <c r="AM76">
        <f t="shared" si="7"/>
        <v>3.7000000000002586</v>
      </c>
      <c r="AT76">
        <f t="shared" si="8"/>
        <v>23.254300000000004</v>
      </c>
    </row>
    <row r="77" spans="1:46" x14ac:dyDescent="0.25">
      <c r="A77" t="s">
        <v>83</v>
      </c>
      <c r="B77" t="s">
        <v>0</v>
      </c>
      <c r="C77">
        <v>3.9049999999999998</v>
      </c>
      <c r="D77">
        <v>3.9062000000000001</v>
      </c>
      <c r="E77">
        <v>3.9049999999999998</v>
      </c>
      <c r="F77">
        <v>3.9049999999999998</v>
      </c>
      <c r="G77">
        <v>3.8927999999999998</v>
      </c>
      <c r="H77">
        <v>3.9049999999999998</v>
      </c>
      <c r="I77">
        <v>24.2</v>
      </c>
      <c r="J77">
        <v>23.5</v>
      </c>
      <c r="K77" t="s">
        <v>1</v>
      </c>
      <c r="L77">
        <v>23.423999999999999</v>
      </c>
      <c r="M77">
        <v>2.39</v>
      </c>
      <c r="N77" t="s">
        <v>2</v>
      </c>
      <c r="O77">
        <v>9999</v>
      </c>
      <c r="P77" t="s">
        <v>3</v>
      </c>
      <c r="Q77">
        <v>9999</v>
      </c>
      <c r="R77">
        <v>7.1962000000000002</v>
      </c>
      <c r="S77" t="s">
        <v>4</v>
      </c>
      <c r="T77">
        <v>3.7658999999999998</v>
      </c>
      <c r="U77">
        <v>3.7671000000000001</v>
      </c>
      <c r="V77">
        <v>3.7683</v>
      </c>
      <c r="W77">
        <v>3.7671000000000001</v>
      </c>
      <c r="X77">
        <v>3.7561</v>
      </c>
      <c r="Y77">
        <v>3.7683</v>
      </c>
      <c r="Z77">
        <v>24.3</v>
      </c>
      <c r="AA77">
        <v>23.6</v>
      </c>
      <c r="AB77" t="s">
        <v>5</v>
      </c>
      <c r="AC77">
        <v>3.8757000000000001</v>
      </c>
      <c r="AD77">
        <v>3.8757000000000001</v>
      </c>
      <c r="AE77">
        <v>3.8757000000000001</v>
      </c>
      <c r="AF77">
        <v>3.8769</v>
      </c>
      <c r="AG77">
        <v>3.8635000000000002</v>
      </c>
      <c r="AH77">
        <v>3.8757000000000001</v>
      </c>
      <c r="AI77">
        <v>25.6</v>
      </c>
      <c r="AJ77">
        <v>23.7</v>
      </c>
      <c r="AK77">
        <f t="shared" si="5"/>
        <v>13.400000000000301</v>
      </c>
      <c r="AL77">
        <f t="shared" si="6"/>
        <v>12.199999999999989</v>
      </c>
      <c r="AM77">
        <f t="shared" si="7"/>
        <v>13.399999999999856</v>
      </c>
      <c r="AT77">
        <f t="shared" si="8"/>
        <v>23.243200000000002</v>
      </c>
    </row>
    <row r="78" spans="1:46" x14ac:dyDescent="0.25">
      <c r="A78" t="s">
        <v>84</v>
      </c>
      <c r="B78" t="s">
        <v>0</v>
      </c>
      <c r="C78">
        <v>3.9049999999999998</v>
      </c>
      <c r="D78">
        <v>3.9049999999999998</v>
      </c>
      <c r="E78">
        <v>3.9037999999999999</v>
      </c>
      <c r="F78">
        <v>3.9049999999999998</v>
      </c>
      <c r="G78">
        <v>3.9037999999999999</v>
      </c>
      <c r="H78">
        <v>3.9049999999999998</v>
      </c>
      <c r="I78">
        <v>23.2</v>
      </c>
      <c r="J78">
        <v>23.3</v>
      </c>
      <c r="K78" t="s">
        <v>1</v>
      </c>
      <c r="L78">
        <v>23.433</v>
      </c>
      <c r="M78">
        <v>2.38</v>
      </c>
      <c r="N78" t="s">
        <v>2</v>
      </c>
      <c r="O78">
        <v>9999</v>
      </c>
      <c r="P78" t="s">
        <v>3</v>
      </c>
      <c r="Q78">
        <v>9999</v>
      </c>
      <c r="R78">
        <v>7.2004999999999999</v>
      </c>
      <c r="S78" t="s">
        <v>4</v>
      </c>
      <c r="T78">
        <v>3.7671000000000001</v>
      </c>
      <c r="U78">
        <v>3.7671000000000001</v>
      </c>
      <c r="V78">
        <v>3.7646000000000002</v>
      </c>
      <c r="W78">
        <v>3.7671000000000001</v>
      </c>
      <c r="X78">
        <v>3.7671000000000001</v>
      </c>
      <c r="Y78">
        <v>3.7671000000000001</v>
      </c>
      <c r="Z78">
        <v>23.8</v>
      </c>
      <c r="AA78">
        <v>23.4</v>
      </c>
      <c r="AB78" t="s">
        <v>5</v>
      </c>
      <c r="AC78">
        <v>3.8757000000000001</v>
      </c>
      <c r="AD78">
        <v>3.8769</v>
      </c>
      <c r="AE78">
        <v>3.8744999999999998</v>
      </c>
      <c r="AF78">
        <v>3.8769</v>
      </c>
      <c r="AG78">
        <v>3.8744999999999998</v>
      </c>
      <c r="AH78">
        <v>3.8757000000000001</v>
      </c>
      <c r="AI78">
        <v>24.9</v>
      </c>
      <c r="AJ78">
        <v>23.5</v>
      </c>
      <c r="AK78">
        <f t="shared" si="5"/>
        <v>1.1999999999998678</v>
      </c>
      <c r="AL78">
        <f t="shared" si="6"/>
        <v>2.4999999999999467</v>
      </c>
      <c r="AM78">
        <f t="shared" si="7"/>
        <v>2.4000000000001798</v>
      </c>
      <c r="AT78">
        <f t="shared" si="8"/>
        <v>23.254200000000004</v>
      </c>
    </row>
    <row r="79" spans="1:46" x14ac:dyDescent="0.25">
      <c r="A79" t="s">
        <v>85</v>
      </c>
      <c r="B79" t="s">
        <v>0</v>
      </c>
      <c r="C79">
        <v>3.9037999999999999</v>
      </c>
      <c r="D79">
        <v>3.9026000000000001</v>
      </c>
      <c r="E79">
        <v>3.9049999999999998</v>
      </c>
      <c r="F79">
        <v>3.9037999999999999</v>
      </c>
      <c r="G79">
        <v>3.9037999999999999</v>
      </c>
      <c r="H79">
        <v>3.9062000000000001</v>
      </c>
      <c r="I79">
        <v>23.3</v>
      </c>
      <c r="J79">
        <v>23.3</v>
      </c>
      <c r="K79" t="s">
        <v>1</v>
      </c>
      <c r="L79">
        <v>23.428999999999998</v>
      </c>
      <c r="M79">
        <v>2.37</v>
      </c>
      <c r="N79" t="s">
        <v>2</v>
      </c>
      <c r="O79">
        <v>9999</v>
      </c>
      <c r="P79" t="s">
        <v>3</v>
      </c>
      <c r="Q79">
        <v>9999</v>
      </c>
      <c r="R79">
        <v>7.1627999999999998</v>
      </c>
      <c r="S79" t="s">
        <v>4</v>
      </c>
      <c r="T79">
        <v>3.7671000000000001</v>
      </c>
      <c r="U79">
        <v>3.7646000000000002</v>
      </c>
      <c r="V79">
        <v>3.7658999999999998</v>
      </c>
      <c r="W79">
        <v>3.7671000000000001</v>
      </c>
      <c r="X79">
        <v>3.7658999999999998</v>
      </c>
      <c r="Y79">
        <v>3.7707000000000002</v>
      </c>
      <c r="Z79">
        <v>23.8</v>
      </c>
      <c r="AA79">
        <v>23.4</v>
      </c>
      <c r="AB79" t="s">
        <v>5</v>
      </c>
      <c r="AC79">
        <v>3.8744999999999998</v>
      </c>
      <c r="AD79">
        <v>3.8733</v>
      </c>
      <c r="AE79">
        <v>3.8744999999999998</v>
      </c>
      <c r="AF79">
        <v>3.8744999999999998</v>
      </c>
      <c r="AG79">
        <v>3.8733</v>
      </c>
      <c r="AH79">
        <v>3.8782000000000001</v>
      </c>
      <c r="AI79">
        <v>24.7</v>
      </c>
      <c r="AJ79">
        <v>23.5</v>
      </c>
      <c r="AK79">
        <f t="shared" si="5"/>
        <v>3.6000000000000476</v>
      </c>
      <c r="AL79">
        <f t="shared" si="6"/>
        <v>6.0999999999999943</v>
      </c>
      <c r="AM79">
        <f t="shared" si="7"/>
        <v>4.9000000000001265</v>
      </c>
      <c r="AT79">
        <f t="shared" si="8"/>
        <v>23.248299999999997</v>
      </c>
    </row>
    <row r="80" spans="1:46" x14ac:dyDescent="0.25">
      <c r="A80" t="s">
        <v>86</v>
      </c>
      <c r="B80" t="s">
        <v>0</v>
      </c>
      <c r="C80">
        <v>3.9049999999999998</v>
      </c>
      <c r="D80">
        <v>3.9049999999999998</v>
      </c>
      <c r="E80">
        <v>3.9037999999999999</v>
      </c>
      <c r="F80">
        <v>3.9062000000000001</v>
      </c>
      <c r="G80">
        <v>3.9037999999999999</v>
      </c>
      <c r="H80">
        <v>3.9037999999999999</v>
      </c>
      <c r="I80">
        <v>23.1</v>
      </c>
      <c r="J80">
        <v>23.2</v>
      </c>
      <c r="K80" t="s">
        <v>1</v>
      </c>
      <c r="L80">
        <v>23.43</v>
      </c>
      <c r="M80">
        <v>2.33</v>
      </c>
      <c r="N80" t="s">
        <v>2</v>
      </c>
      <c r="O80">
        <v>9999</v>
      </c>
      <c r="P80" t="s">
        <v>3</v>
      </c>
      <c r="Q80">
        <v>9999</v>
      </c>
      <c r="R80">
        <v>7.1311</v>
      </c>
      <c r="S80" t="s">
        <v>4</v>
      </c>
      <c r="T80">
        <v>3.7683</v>
      </c>
      <c r="U80">
        <v>3.7671000000000001</v>
      </c>
      <c r="V80">
        <v>3.7671000000000001</v>
      </c>
      <c r="W80">
        <v>3.7694999999999999</v>
      </c>
      <c r="X80">
        <v>3.7683</v>
      </c>
      <c r="Y80">
        <v>3.7671000000000001</v>
      </c>
      <c r="Z80">
        <v>23.7</v>
      </c>
      <c r="AA80">
        <v>23.4</v>
      </c>
      <c r="AB80" t="s">
        <v>5</v>
      </c>
      <c r="AC80">
        <v>3.8757000000000001</v>
      </c>
      <c r="AD80">
        <v>3.8757000000000001</v>
      </c>
      <c r="AE80">
        <v>3.8744999999999998</v>
      </c>
      <c r="AF80">
        <v>3.8769</v>
      </c>
      <c r="AG80">
        <v>3.8744999999999998</v>
      </c>
      <c r="AH80">
        <v>3.8744999999999998</v>
      </c>
      <c r="AI80">
        <v>24.7</v>
      </c>
      <c r="AJ80">
        <v>23.5</v>
      </c>
      <c r="AK80">
        <f t="shared" si="5"/>
        <v>2.4000000000001798</v>
      </c>
      <c r="AL80">
        <f t="shared" si="6"/>
        <v>2.3999999999997357</v>
      </c>
      <c r="AM80">
        <f t="shared" si="7"/>
        <v>2.4000000000001798</v>
      </c>
      <c r="AT80">
        <f t="shared" si="8"/>
        <v>23.251800000000003</v>
      </c>
    </row>
    <row r="81" spans="37:46" x14ac:dyDescent="0.25">
      <c r="AK81">
        <f t="shared" si="5"/>
        <v>0</v>
      </c>
      <c r="AL81">
        <f t="shared" si="6"/>
        <v>0</v>
      </c>
      <c r="AM81">
        <f t="shared" si="7"/>
        <v>0</v>
      </c>
      <c r="AT81">
        <f t="shared" si="8"/>
        <v>0</v>
      </c>
    </row>
    <row r="82" spans="37:46" x14ac:dyDescent="0.25">
      <c r="AK82">
        <f t="shared" si="5"/>
        <v>0</v>
      </c>
      <c r="AL82">
        <f t="shared" si="6"/>
        <v>0</v>
      </c>
      <c r="AM82">
        <f t="shared" si="7"/>
        <v>0</v>
      </c>
      <c r="AT82">
        <f t="shared" si="8"/>
        <v>0</v>
      </c>
    </row>
    <row r="83" spans="37:46" x14ac:dyDescent="0.25">
      <c r="AK83">
        <f t="shared" si="5"/>
        <v>0</v>
      </c>
      <c r="AL83">
        <f t="shared" si="6"/>
        <v>0</v>
      </c>
      <c r="AM83">
        <f t="shared" si="7"/>
        <v>0</v>
      </c>
      <c r="AT83">
        <f t="shared" si="8"/>
        <v>0</v>
      </c>
    </row>
    <row r="84" spans="37:46" x14ac:dyDescent="0.25">
      <c r="AK84">
        <f t="shared" si="5"/>
        <v>0</v>
      </c>
      <c r="AL84">
        <f t="shared" si="6"/>
        <v>0</v>
      </c>
      <c r="AM84">
        <f t="shared" si="7"/>
        <v>0</v>
      </c>
      <c r="AT84">
        <f t="shared" si="8"/>
        <v>0</v>
      </c>
    </row>
    <row r="85" spans="37:46" x14ac:dyDescent="0.25">
      <c r="AK85">
        <f t="shared" si="5"/>
        <v>0</v>
      </c>
      <c r="AL85">
        <f t="shared" si="6"/>
        <v>0</v>
      </c>
      <c r="AM85">
        <f t="shared" si="7"/>
        <v>0</v>
      </c>
      <c r="AT85">
        <f t="shared" si="8"/>
        <v>0</v>
      </c>
    </row>
    <row r="86" spans="37:46" x14ac:dyDescent="0.25">
      <c r="AK86">
        <f t="shared" si="5"/>
        <v>0</v>
      </c>
      <c r="AL86">
        <f t="shared" si="6"/>
        <v>0</v>
      </c>
      <c r="AM86">
        <f t="shared" si="7"/>
        <v>0</v>
      </c>
      <c r="AT86">
        <f t="shared" si="8"/>
        <v>0</v>
      </c>
    </row>
    <row r="87" spans="37:46" x14ac:dyDescent="0.25">
      <c r="AK87">
        <f t="shared" si="5"/>
        <v>0</v>
      </c>
      <c r="AL87">
        <f t="shared" si="6"/>
        <v>0</v>
      </c>
      <c r="AM87">
        <f t="shared" si="7"/>
        <v>0</v>
      </c>
      <c r="AT87">
        <f t="shared" si="8"/>
        <v>0</v>
      </c>
    </row>
    <row r="88" spans="37:46" x14ac:dyDescent="0.25">
      <c r="AK88">
        <f t="shared" si="5"/>
        <v>0</v>
      </c>
      <c r="AL88">
        <f t="shared" si="6"/>
        <v>0</v>
      </c>
      <c r="AM88">
        <f t="shared" si="7"/>
        <v>0</v>
      </c>
      <c r="AT88">
        <f t="shared" si="8"/>
        <v>0</v>
      </c>
    </row>
    <row r="89" spans="37:46" x14ac:dyDescent="0.25">
      <c r="AK89">
        <f t="shared" si="5"/>
        <v>0</v>
      </c>
      <c r="AL89">
        <f t="shared" si="6"/>
        <v>0</v>
      </c>
      <c r="AM89">
        <f t="shared" si="7"/>
        <v>0</v>
      </c>
      <c r="AT89">
        <f t="shared" si="8"/>
        <v>0</v>
      </c>
    </row>
    <row r="90" spans="37:46" x14ac:dyDescent="0.25">
      <c r="AK90">
        <f t="shared" si="5"/>
        <v>0</v>
      </c>
      <c r="AL90">
        <f t="shared" si="6"/>
        <v>0</v>
      </c>
      <c r="AM90">
        <f t="shared" si="7"/>
        <v>0</v>
      </c>
      <c r="AT90">
        <f t="shared" si="8"/>
        <v>0</v>
      </c>
    </row>
    <row r="91" spans="37:46" x14ac:dyDescent="0.25">
      <c r="AK91">
        <f t="shared" si="5"/>
        <v>0</v>
      </c>
      <c r="AL91">
        <f t="shared" si="6"/>
        <v>0</v>
      </c>
      <c r="AM91">
        <f t="shared" si="7"/>
        <v>0</v>
      </c>
      <c r="AT91">
        <f t="shared" si="8"/>
        <v>0</v>
      </c>
    </row>
    <row r="92" spans="37:46" x14ac:dyDescent="0.25">
      <c r="AK92">
        <f t="shared" si="5"/>
        <v>0</v>
      </c>
      <c r="AL92">
        <f t="shared" si="6"/>
        <v>0</v>
      </c>
      <c r="AM92">
        <f t="shared" si="7"/>
        <v>0</v>
      </c>
      <c r="AT92">
        <f t="shared" si="8"/>
        <v>0</v>
      </c>
    </row>
    <row r="93" spans="37:46" x14ac:dyDescent="0.25">
      <c r="AK93">
        <f t="shared" si="5"/>
        <v>0</v>
      </c>
      <c r="AL93">
        <f t="shared" si="6"/>
        <v>0</v>
      </c>
      <c r="AM93">
        <f t="shared" si="7"/>
        <v>0</v>
      </c>
      <c r="AT93">
        <f t="shared" si="8"/>
        <v>0</v>
      </c>
    </row>
    <row r="94" spans="37:46" x14ac:dyDescent="0.25">
      <c r="AK94">
        <f t="shared" si="5"/>
        <v>0</v>
      </c>
      <c r="AL94">
        <f t="shared" si="6"/>
        <v>0</v>
      </c>
      <c r="AM94">
        <f t="shared" si="7"/>
        <v>0</v>
      </c>
      <c r="AT94">
        <f t="shared" si="8"/>
        <v>0</v>
      </c>
    </row>
    <row r="95" spans="37:46" x14ac:dyDescent="0.25">
      <c r="AK95">
        <f t="shared" si="5"/>
        <v>0</v>
      </c>
      <c r="AL95">
        <f t="shared" si="6"/>
        <v>0</v>
      </c>
      <c r="AM95">
        <f t="shared" si="7"/>
        <v>0</v>
      </c>
      <c r="AT95">
        <f t="shared" si="8"/>
        <v>0</v>
      </c>
    </row>
    <row r="96" spans="37:46" x14ac:dyDescent="0.25">
      <c r="AK96">
        <f t="shared" si="5"/>
        <v>0</v>
      </c>
      <c r="AL96">
        <f t="shared" si="6"/>
        <v>0</v>
      </c>
      <c r="AM96">
        <f t="shared" si="7"/>
        <v>0</v>
      </c>
      <c r="AT96">
        <f t="shared" si="8"/>
        <v>0</v>
      </c>
    </row>
    <row r="97" spans="37:46" x14ac:dyDescent="0.25">
      <c r="AK97">
        <f t="shared" si="5"/>
        <v>0</v>
      </c>
      <c r="AL97">
        <f t="shared" si="6"/>
        <v>0</v>
      </c>
      <c r="AM97">
        <f t="shared" si="7"/>
        <v>0</v>
      </c>
      <c r="AT97">
        <f t="shared" si="8"/>
        <v>0</v>
      </c>
    </row>
    <row r="98" spans="37:46" x14ac:dyDescent="0.25">
      <c r="AK98">
        <f t="shared" si="5"/>
        <v>0</v>
      </c>
      <c r="AL98">
        <f t="shared" si="6"/>
        <v>0</v>
      </c>
      <c r="AM98">
        <f t="shared" si="7"/>
        <v>0</v>
      </c>
      <c r="AT98">
        <f t="shared" si="8"/>
        <v>0</v>
      </c>
    </row>
    <row r="99" spans="37:46" x14ac:dyDescent="0.25">
      <c r="AK99">
        <f t="shared" si="5"/>
        <v>0</v>
      </c>
      <c r="AL99">
        <f t="shared" si="6"/>
        <v>0</v>
      </c>
      <c r="AM99">
        <f t="shared" si="7"/>
        <v>0</v>
      </c>
      <c r="AT99">
        <f t="shared" si="8"/>
        <v>0</v>
      </c>
    </row>
    <row r="100" spans="37:46" x14ac:dyDescent="0.25">
      <c r="AK100">
        <f t="shared" si="5"/>
        <v>0</v>
      </c>
      <c r="AL100">
        <f t="shared" si="6"/>
        <v>0</v>
      </c>
      <c r="AM100">
        <f t="shared" si="7"/>
        <v>0</v>
      </c>
      <c r="AT100">
        <f t="shared" si="8"/>
        <v>0</v>
      </c>
    </row>
    <row r="101" spans="37:46" x14ac:dyDescent="0.25">
      <c r="AK101">
        <f t="shared" si="5"/>
        <v>0</v>
      </c>
      <c r="AL101">
        <f t="shared" si="6"/>
        <v>0</v>
      </c>
      <c r="AM101">
        <f t="shared" si="7"/>
        <v>0</v>
      </c>
      <c r="AT101">
        <f t="shared" si="8"/>
        <v>0</v>
      </c>
    </row>
    <row r="102" spans="37:46" x14ac:dyDescent="0.25">
      <c r="AK102">
        <f t="shared" si="5"/>
        <v>0</v>
      </c>
      <c r="AL102">
        <f t="shared" si="6"/>
        <v>0</v>
      </c>
      <c r="AM102">
        <f t="shared" si="7"/>
        <v>0</v>
      </c>
      <c r="AT102">
        <f t="shared" si="8"/>
        <v>0</v>
      </c>
    </row>
    <row r="103" spans="37:46" x14ac:dyDescent="0.25">
      <c r="AK103">
        <f t="shared" si="5"/>
        <v>0</v>
      </c>
      <c r="AL103">
        <f t="shared" si="6"/>
        <v>0</v>
      </c>
      <c r="AM103">
        <f t="shared" si="7"/>
        <v>0</v>
      </c>
      <c r="AT103">
        <f t="shared" si="8"/>
        <v>0</v>
      </c>
    </row>
    <row r="104" spans="37:46" x14ac:dyDescent="0.25">
      <c r="AK104">
        <f t="shared" si="5"/>
        <v>0</v>
      </c>
      <c r="AL104">
        <f t="shared" si="6"/>
        <v>0</v>
      </c>
      <c r="AM104">
        <f t="shared" si="7"/>
        <v>0</v>
      </c>
      <c r="AT104">
        <f t="shared" si="8"/>
        <v>0</v>
      </c>
    </row>
    <row r="105" spans="37:46" x14ac:dyDescent="0.25">
      <c r="AK105">
        <f t="shared" si="5"/>
        <v>0</v>
      </c>
      <c r="AL105">
        <f t="shared" si="6"/>
        <v>0</v>
      </c>
      <c r="AM105">
        <f t="shared" si="7"/>
        <v>0</v>
      </c>
      <c r="AT105">
        <f t="shared" si="8"/>
        <v>0</v>
      </c>
    </row>
    <row r="106" spans="37:46" x14ac:dyDescent="0.25">
      <c r="AK106">
        <f t="shared" si="5"/>
        <v>0</v>
      </c>
      <c r="AL106">
        <f t="shared" si="6"/>
        <v>0</v>
      </c>
      <c r="AM106">
        <f t="shared" si="7"/>
        <v>0</v>
      </c>
      <c r="AT106">
        <f t="shared" si="8"/>
        <v>0</v>
      </c>
    </row>
    <row r="107" spans="37:46" x14ac:dyDescent="0.25">
      <c r="AK107">
        <f t="shared" si="5"/>
        <v>0</v>
      </c>
      <c r="AL107">
        <f t="shared" si="6"/>
        <v>0</v>
      </c>
      <c r="AM107">
        <f t="shared" si="7"/>
        <v>0</v>
      </c>
      <c r="AT107">
        <f t="shared" si="8"/>
        <v>0</v>
      </c>
    </row>
    <row r="108" spans="37:46" x14ac:dyDescent="0.25">
      <c r="AK108">
        <f t="shared" si="5"/>
        <v>0</v>
      </c>
      <c r="AL108">
        <f t="shared" si="6"/>
        <v>0</v>
      </c>
      <c r="AM108">
        <f t="shared" si="7"/>
        <v>0</v>
      </c>
      <c r="AT108">
        <f t="shared" si="8"/>
        <v>0</v>
      </c>
    </row>
    <row r="109" spans="37:46" x14ac:dyDescent="0.25">
      <c r="AK109">
        <f t="shared" si="5"/>
        <v>0</v>
      </c>
      <c r="AL109">
        <f t="shared" si="6"/>
        <v>0</v>
      </c>
      <c r="AM109">
        <f t="shared" si="7"/>
        <v>0</v>
      </c>
      <c r="AT109">
        <f t="shared" si="8"/>
        <v>0</v>
      </c>
    </row>
    <row r="110" spans="37:46" x14ac:dyDescent="0.25">
      <c r="AK110">
        <f t="shared" si="5"/>
        <v>0</v>
      </c>
      <c r="AL110">
        <f t="shared" si="6"/>
        <v>0</v>
      </c>
      <c r="AM110">
        <f t="shared" si="7"/>
        <v>0</v>
      </c>
      <c r="AT110">
        <f t="shared" si="8"/>
        <v>0</v>
      </c>
    </row>
  </sheetData>
  <autoFilter ref="A1:DW110" xr:uid="{00000000-0009-0000-0000-000000000000}"/>
  <mergeCells count="3">
    <mergeCell ref="AK1:AM1"/>
    <mergeCell ref="AN1:AP1"/>
    <mergeCell ref="AQ1:AS1"/>
  </mergeCells>
  <phoneticPr fontId="18" type="noConversion"/>
  <conditionalFormatting sqref="A1 C1:J1 L1:M1 O1 Q1:R1 T1:AA1 AC1:AJ1 A2:AJ110">
    <cfRule type="containsText" dxfId="0" priority="1" operator="containsText" text="Test">
      <formula>NOT(ISERROR(SEARCH("Test",A1)))</formula>
    </cfRule>
  </conditionalFormatting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EXPORT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KABRÉ Sylvain</dc:creator>
  <cp:lastModifiedBy>Sylvain Kabré</cp:lastModifiedBy>
  <dcterms:created xsi:type="dcterms:W3CDTF">2023-06-27T12:14:52Z</dcterms:created>
  <dcterms:modified xsi:type="dcterms:W3CDTF">2023-07-05T09:41:05Z</dcterms:modified>
</cp:coreProperties>
</file>